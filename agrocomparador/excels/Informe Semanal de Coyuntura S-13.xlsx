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13\"/>
    </mc:Choice>
  </mc:AlternateContent>
  <xr:revisionPtr revIDLastSave="0" documentId="13_ncr:1_{722A80D2-7CC8-45F1-9D9F-056507CE5496}" xr6:coauthVersionLast="47" xr6:coauthVersionMax="47" xr10:uidLastSave="{00000000-0000-0000-0000-000000000000}"/>
  <bookViews>
    <workbookView xWindow="-28920" yWindow="-120" windowWidth="29040" windowHeight="15720" xr2:uid="{871982C9-1A5B-4099-AD5B-EA894769F247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'[2]PRECIOS CE'!#REF!</definedName>
    <definedName name="_xlnm._FilterDatabase" localSheetId="6" hidden="1">'[2]PRECIOS CE'!#REF!</definedName>
    <definedName name="_xlnm._FilterDatabase" localSheetId="7" hidden="1">'[2]PRECIOS CE'!#REF!</definedName>
    <definedName name="_xlnm._FilterDatabase" localSheetId="8" hidden="1">'[2]PRECIOS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'[7]PRECIOS CE'!#REF!</definedName>
    <definedName name="_xlnm._FilterDatabase" localSheetId="14" hidden="1">'[7]PRECIOS CE'!#REF!</definedName>
    <definedName name="_xlnm._FilterDatabase" localSheetId="15" hidden="1">'[7]PRECIOS CE'!#REF!</definedName>
    <definedName name="_xlnm._FilterDatabase" localSheetId="16" hidden="1">'[7]PRECIOS CE'!#REF!</definedName>
    <definedName name="_xlnm._FilterDatabase" localSheetId="1" hidden="1">'[2]PRECIOS CE'!#REF!</definedName>
    <definedName name="_xlnm._FilterDatabase" localSheetId="2" hidden="1">'[5]PRECIOS CE'!#REF!</definedName>
    <definedName name="_xlnm._FilterDatabase" localSheetId="3" hidden="1">'[7]PRECIOS CE'!#REF!</definedName>
    <definedName name="_xlnm._FilterDatabase" localSheetId="4" hidden="1">'[2]PRECIOS CE'!#REF!</definedName>
    <definedName name="_xlnm._FilterDatabase" hidden="1">'[2]PRECIOS CE'!#REF!</definedName>
    <definedName name="a" localSheetId="5" hidden="1">'[2]PRECIOS CE'!#REF!</definedName>
    <definedName name="a" localSheetId="6" hidden="1">'[2]PRECIOS CE'!#REF!</definedName>
    <definedName name="a" localSheetId="7" hidden="1">'[2]PRECIOS CE'!#REF!</definedName>
    <definedName name="a" localSheetId="8" hidden="1">'[2]PRECIOS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'[7]PRECIOS CE'!#REF!</definedName>
    <definedName name="a" localSheetId="14" hidden="1">'[7]PRECIOS CE'!#REF!</definedName>
    <definedName name="a" localSheetId="15" hidden="1">'[7]PRECIOS CE'!#REF!</definedName>
    <definedName name="a" localSheetId="16" hidden="1">'[7]PRECIOS CE'!#REF!</definedName>
    <definedName name="a" localSheetId="1" hidden="1">'[2]PRECIOS CE'!#REF!</definedName>
    <definedName name="a" localSheetId="2" hidden="1">'[5]PRECIOS CE'!#REF!</definedName>
    <definedName name="a" localSheetId="3" hidden="1">'[7]PRECIOS CE'!#REF!</definedName>
    <definedName name="a" localSheetId="4" hidden="1">'[2]PRECIOS CE'!#REF!</definedName>
    <definedName name="a" hidden="1">'[2]PRECIOS CE'!#REF!</definedName>
    <definedName name="_xlnm.Print_Area" localSheetId="5">'Pág. 10'!$A$1:$F$38</definedName>
    <definedName name="_xlnm.Print_Area" localSheetId="6">'Pág. 11'!$A$1:$F$44</definedName>
    <definedName name="_xlnm.Print_Area" localSheetId="7">'Pág. 12'!$A$1:$F$17</definedName>
    <definedName name="_xlnm.Print_Area" localSheetId="8">'Pág. 13'!$B$1:$F$70</definedName>
    <definedName name="_xlnm.Print_Area" localSheetId="9">'Pág. 14'!$A$1:$N$69</definedName>
    <definedName name="_xlnm.Print_Area" localSheetId="10">'Pág. 15'!$A$1:$H$38</definedName>
    <definedName name="_xlnm.Print_Area" localSheetId="11">'Pág. 16'!$A$1:$N$98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4'!$A$1:$G$76</definedName>
    <definedName name="_xlnm.Print_Area" localSheetId="2">'Pág. 5'!$A$1:$G$77</definedName>
    <definedName name="_xlnm.Print_Area" localSheetId="3">'Pág. 7'!$A$1:$G$72</definedName>
    <definedName name="_xlnm.Print_Area" localSheetId="4">'Pág. 9'!$A$1:$F$35</definedName>
    <definedName name="_xlnm.Print_Area">'[3]Email CCAA'!$B$3:$K$124</definedName>
    <definedName name="OLE_LINK1" localSheetId="1">'Pág. 4'!$E$62</definedName>
    <definedName name="OLE_LINK1" localSheetId="2">'Pág. 5'!$E$67</definedName>
    <definedName name="OLE_LINK1" localSheetId="3">'Pág. 7'!$E$68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'[2]PRECIOS CE'!#REF!</definedName>
    <definedName name="ww" localSheetId="6" hidden="1">'[2]PRECIOS CE'!#REF!</definedName>
    <definedName name="ww" localSheetId="7" hidden="1">'[2]PRECIOS CE'!#REF!</definedName>
    <definedName name="ww" localSheetId="8" hidden="1">'[2]PRECIOS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'[7]PRECIOS CE'!#REF!</definedName>
    <definedName name="ww" localSheetId="14" hidden="1">'[7]PRECIOS CE'!#REF!</definedName>
    <definedName name="ww" localSheetId="15" hidden="1">'[7]PRECIOS CE'!#REF!</definedName>
    <definedName name="ww" localSheetId="16" hidden="1">'[7]PRECIOS CE'!#REF!</definedName>
    <definedName name="ww" localSheetId="1" hidden="1">'[2]PRECIOS CE'!#REF!</definedName>
    <definedName name="ww" localSheetId="2" hidden="1">'[5]PRECIOS CE'!#REF!</definedName>
    <definedName name="ww" localSheetId="3" hidden="1">'[7]PRECIOS CE'!#REF!</definedName>
    <definedName name="ww" localSheetId="4" hidden="1">'[2]PRECIOS CE'!#REF!</definedName>
    <definedName name="ww" hidden="1">'[2]PRECIOS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F49" i="2"/>
  <c r="G47" i="2"/>
  <c r="F47" i="2"/>
  <c r="G46" i="2"/>
  <c r="F46" i="2"/>
  <c r="G44" i="2"/>
  <c r="F44" i="2"/>
  <c r="G43" i="2"/>
  <c r="F43" i="2"/>
  <c r="G42" i="2"/>
  <c r="F42" i="2"/>
  <c r="G41" i="2"/>
  <c r="F41" i="2"/>
  <c r="G40" i="2"/>
  <c r="F40" i="2"/>
  <c r="G39" i="2"/>
  <c r="F39" i="2"/>
  <c r="G37" i="2"/>
  <c r="F37" i="2"/>
  <c r="F36" i="2"/>
  <c r="G34" i="2"/>
  <c r="F34" i="2"/>
  <c r="G33" i="2"/>
  <c r="F33" i="2"/>
  <c r="G32" i="2"/>
  <c r="F32" i="2"/>
  <c r="G31" i="2"/>
  <c r="F31" i="2"/>
  <c r="G30" i="2"/>
  <c r="F30" i="2"/>
  <c r="G29" i="2"/>
  <c r="F29" i="2"/>
  <c r="G27" i="2"/>
  <c r="F27" i="2"/>
  <c r="G26" i="2"/>
  <c r="F26" i="2"/>
  <c r="G24" i="2"/>
  <c r="F24" i="2"/>
  <c r="G23" i="2"/>
  <c r="F23" i="2"/>
  <c r="G22" i="2"/>
  <c r="F22" i="2"/>
  <c r="G20" i="2"/>
  <c r="F20" i="2"/>
  <c r="G19" i="2"/>
  <c r="F19" i="2"/>
  <c r="G18" i="2"/>
  <c r="F18" i="2"/>
  <c r="G17" i="2"/>
  <c r="F17" i="2"/>
  <c r="G15" i="2"/>
  <c r="F15" i="2"/>
  <c r="G14" i="2"/>
  <c r="F14" i="2"/>
  <c r="G13" i="2"/>
  <c r="F13" i="2"/>
  <c r="G12" i="2"/>
  <c r="F12" i="2"/>
  <c r="G11" i="2"/>
  <c r="F11" i="2"/>
</calcChain>
</file>

<file path=xl/sharedStrings.xml><?xml version="1.0" encoding="utf-8"?>
<sst xmlns="http://schemas.openxmlformats.org/spreadsheetml/2006/main" count="1844" uniqueCount="587">
  <si>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</si>
  <si>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</si>
  <si>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</si>
  <si>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</si>
  <si>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12</t>
  </si>
  <si>
    <t>Semana 13</t>
  </si>
  <si>
    <t>Variación</t>
  </si>
  <si>
    <t>(especificaciones)</t>
  </si>
  <si>
    <t>16/03 - 22/03</t>
  </si>
  <si>
    <t>23/03 - 29/03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</si>
  <si>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</si>
  <si>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</si>
  <si>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</si>
  <si>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</si>
  <si>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</si>
  <si>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</si>
  <si>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</si>
  <si>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</si>
  <si>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</si>
  <si>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</si>
  <si>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</si>
  <si>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</si>
  <si>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</si>
  <si>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</si>
  <si>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</si>
  <si>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</si>
  <si>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</si>
  <si>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</si>
  <si>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</si>
  <si>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</si>
  <si>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</si>
  <si>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</si>
  <si>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</si>
  <si>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</si>
  <si>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</si>
  <si>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</si>
  <si>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</si>
  <si>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</si>
  <si>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</si>
  <si>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</si>
  <si>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</si>
  <si>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</si>
  <si>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</si>
  <si>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</si>
  <si>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</si>
  <si>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</si>
  <si>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</si>
  <si>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</si>
  <si>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</si>
  <si>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</si>
  <si>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</si>
  <si>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</si>
  <si>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</si>
  <si>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</si>
  <si>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</si>
  <si>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</si>
  <si>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</si>
  <si>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</si>
  <si>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</si>
  <si>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</si>
  <si>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</si>
  <si>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</si>
  <si>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</si>
  <si>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</si>
  <si>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</si>
  <si>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</si>
  <si>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</si>
  <si>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</si>
  <si>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</si>
  <si>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</si>
  <si>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16/03-22/03</t>
  </si>
  <si>
    <t>23/03-29/03</t>
  </si>
  <si>
    <t>FRUTAS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</si>
  <si>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</si>
  <si>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</si>
  <si>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</si>
  <si>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</si>
  <si>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Valencia Late (€/100 kg)</t>
  </si>
  <si>
    <t xml:space="preserve">     Naranja Grupo Navel (€/100 kg)</t>
  </si>
  <si>
    <t xml:space="preserve">          Naranja Lanelate (€/100 kg)</t>
  </si>
  <si>
    <t xml:space="preserve">          Naranja Navel (€/100 kg)</t>
  </si>
  <si>
    <t xml:space="preserve">          Naranja Navelate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</si>
  <si>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</si>
  <si>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</si>
  <si>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</si>
  <si>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</si>
  <si>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</si>
  <si>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</si>
  <si>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</si>
  <si>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</si>
  <si>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Níspero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</si>
  <si>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</si>
  <si>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</si>
  <si>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</si>
  <si>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</si>
  <si>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</si>
  <si>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</si>
  <si>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</si>
  <si>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</si>
  <si>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</si>
  <si>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</si>
  <si>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</si>
  <si>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</si>
  <si>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</si>
  <si>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Espárrago (€/100 ud)</t>
  </si>
  <si>
    <t>-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</si>
  <si>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</si>
  <si>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</si>
  <si>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</si>
  <si>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</si>
  <si>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</si>
  <si>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</si>
  <si>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</si>
  <si>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</si>
  <si>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</si>
  <si>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</si>
  <si>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</si>
  <si>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</si>
  <si>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</si>
  <si>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</si>
  <si>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</si>
  <si>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</si>
  <si>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</si>
  <si>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</si>
  <si>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</si>
  <si>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</si>
  <si>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</si>
  <si>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</si>
  <si>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</si>
  <si>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</si>
  <si>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</si>
  <si>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</si>
  <si>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</si>
  <si>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</si>
  <si>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</si>
  <si>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</si>
  <si>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</si>
  <si>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</si>
  <si>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</si>
  <si>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</si>
  <si>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</si>
  <si>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</si>
  <si>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</si>
  <si>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</si>
  <si>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</si>
  <si>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</si>
  <si>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</si>
  <si>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</si>
  <si>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</si>
  <si>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</si>
  <si>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</si>
  <si>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</si>
  <si>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</si>
  <si>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</si>
  <si>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</si>
  <si>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</si>
  <si>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</si>
  <si>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</si>
  <si>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</si>
  <si>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</si>
  <si>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</si>
  <si>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</si>
  <si>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</si>
  <si>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</si>
  <si>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MIEL Y PRODUCTOS APÍCOLAS</t>
  </si>
  <si>
    <t>Miel multifloral a granel (€/100 kg)</t>
  </si>
  <si>
    <t>Precio febrero 2026: 334,36 €/100 kg</t>
  </si>
  <si>
    <t>Miel multifloral envasada (€/100 kg)</t>
  </si>
  <si>
    <t>Precio febrero 2026: 636,87 €/100 kg</t>
  </si>
  <si>
    <t>Polen a granel (€/100 kg)</t>
  </si>
  <si>
    <t>Precio febrero 2026: 1.270,46 €/100 kg</t>
  </si>
  <si>
    <t>Polen envasado (€/100 kg)</t>
  </si>
  <si>
    <t>Precio febrero 2026: 2.051,17 €/100 kg</t>
  </si>
  <si>
    <t xml:space="preserve">(1) Entrada matadero; (2) Salida muelle matadero; (3) Salida muelle centro de embalaje; (4) Salida granja; </t>
  </si>
  <si>
    <t>(5) Precio franco fábrica sin impuestos ni costes; (6)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</si>
  <si>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</si>
  <si>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</si>
  <si>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</si>
  <si>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</si>
  <si>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</si>
  <si>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</si>
  <si>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</si>
  <si>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</si>
  <si>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</si>
  <si>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12
16/03-22/03
2026</t>
  </si>
  <si>
    <t>Semana 13
16/03-22/03
2026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</si>
  <si>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</si>
  <si>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</si>
  <si>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</si>
  <si>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</si>
  <si>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</si>
  <si>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</si>
  <si>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Toledo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</si>
  <si>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</si>
  <si>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</si>
  <si>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</si>
  <si>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</si>
  <si>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</si>
  <si>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</si>
  <si>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</si>
  <si>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</si>
  <si>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</si>
  <si>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</si>
  <si>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</si>
  <si>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</si>
  <si>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</si>
  <si>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</si>
  <si>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</si>
  <si>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</si>
  <si>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</si>
  <si>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</si>
  <si>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</si>
  <si>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</si>
  <si>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</si>
  <si>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</si>
  <si>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</si>
  <si>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</si>
  <si>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</si>
  <si>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</si>
  <si>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</si>
  <si>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</si>
  <si>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</si>
  <si>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</si>
  <si>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</si>
  <si>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</si>
  <si>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>--</t>
  </si>
  <si>
    <t xml:space="preserve">   Lleida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</si>
  <si>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</si>
  <si>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</si>
  <si>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</si>
  <si>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</si>
  <si>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</si>
  <si>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</si>
  <si>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</si>
  <si>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</si>
  <si>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 xml:space="preserve">   Cáceres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</si>
  <si>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</si>
  <si>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</si>
  <si>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</si>
  <si>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</si>
  <si>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</si>
  <si>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</si>
  <si>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</si>
  <si>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</si>
  <si>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</si>
  <si>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</si>
  <si>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</si>
  <si>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</si>
  <si>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</si>
  <si>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</si>
  <si>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</si>
  <si>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</si>
  <si>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</si>
  <si>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</si>
  <si>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</si>
  <si>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</si>
  <si>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</si>
  <si>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</si>
  <si>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</si>
  <si>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</si>
  <si>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</si>
  <si>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</si>
  <si>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</si>
  <si>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</si>
  <si>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</si>
  <si>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</si>
  <si>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</si>
  <si>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</si>
  <si>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</si>
  <si>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</si>
  <si>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</si>
  <si>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</si>
  <si>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</si>
  <si>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</si>
  <si>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</si>
  <si>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</si>
  <si>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</si>
  <si>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</si>
  <si>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</si>
  <si>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</si>
  <si>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</si>
  <si>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</si>
  <si>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</si>
  <si>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</si>
  <si>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</si>
  <si>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</si>
  <si>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</si>
  <si>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</si>
  <si>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LIMÓN</t>
  </si>
  <si>
    <t>Alicante</t>
  </si>
  <si>
    <t>Fino</t>
  </si>
  <si>
    <t>I</t>
  </si>
  <si>
    <t>3-4</t>
  </si>
  <si>
    <t>Málaga</t>
  </si>
  <si>
    <t>Murcia</t>
  </si>
  <si>
    <t>MANDARINA</t>
  </si>
  <si>
    <t>Valencia</t>
  </si>
  <si>
    <t>Murina</t>
  </si>
  <si>
    <t>1-3</t>
  </si>
  <si>
    <t>Castellón</t>
  </si>
  <si>
    <t>Murkott</t>
  </si>
  <si>
    <t>Nadorcott</t>
  </si>
  <si>
    <t>Orri</t>
  </si>
  <si>
    <t>1-2</t>
  </si>
  <si>
    <t>Ortanique</t>
  </si>
  <si>
    <t>Tango</t>
  </si>
  <si>
    <t>NARANJA</t>
  </si>
  <si>
    <t>Navel Lane Late</t>
  </si>
  <si>
    <t>3-6</t>
  </si>
  <si>
    <t>Córdoba</t>
  </si>
  <si>
    <t>Huelva</t>
  </si>
  <si>
    <t>Sevilla</t>
  </si>
  <si>
    <t>Navelate</t>
  </si>
  <si>
    <t>Salustiana</t>
  </si>
  <si>
    <t>Tarocco</t>
  </si>
  <si>
    <t>Valencia Late</t>
  </si>
  <si>
    <t>FRUTAS DE PEPITA</t>
  </si>
  <si>
    <t>MANZANA</t>
  </si>
  <si>
    <t>Gerona</t>
  </si>
  <si>
    <t>Fuji</t>
  </si>
  <si>
    <t xml:space="preserve">65-80 </t>
  </si>
  <si>
    <t>Lérida</t>
  </si>
  <si>
    <t>Navarra</t>
  </si>
  <si>
    <t>Gala</t>
  </si>
  <si>
    <t>Golden Delicious</t>
  </si>
  <si>
    <t>Zaragoza</t>
  </si>
  <si>
    <t>Granny Smith</t>
  </si>
  <si>
    <t>Red Delicious</t>
  </si>
  <si>
    <t>Reineta</t>
  </si>
  <si>
    <t>PERA</t>
  </si>
  <si>
    <t>Blanquilla</t>
  </si>
  <si>
    <t xml:space="preserve">55-60 </t>
  </si>
  <si>
    <t>La Rioja</t>
  </si>
  <si>
    <t>Conferencia</t>
  </si>
  <si>
    <t>60-65+</t>
  </si>
  <si>
    <t>Limonera</t>
  </si>
  <si>
    <t xml:space="preserve">60-65 </t>
  </si>
  <si>
    <t>OTRAS FRUTAS</t>
  </si>
  <si>
    <t>AGUACATE</t>
  </si>
  <si>
    <t>Granada</t>
  </si>
  <si>
    <t>Hass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</si>
  <si>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</si>
  <si>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</si>
  <si>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</si>
  <si>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</si>
  <si>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13-2026: 23/03 - 29/03</t>
  </si>
  <si>
    <t>ESPAÑA</t>
  </si>
  <si>
    <t>Todas las variedades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</si>
  <si>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</si>
  <si>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</si>
  <si>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</si>
  <si>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</si>
  <si>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</si>
  <si>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</si>
  <si>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</si>
  <si>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</si>
  <si>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</si>
  <si>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</si>
  <si>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</si>
  <si>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</si>
  <si>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</si>
  <si>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</si>
  <si>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</si>
  <si>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</si>
  <si>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</si>
  <si>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</si>
  <si>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</si>
  <si>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</si>
  <si>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</si>
  <si>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Almería</t>
  </si>
  <si>
    <t>40+/70+</t>
  </si>
  <si>
    <t>BRÓCOLI</t>
  </si>
  <si>
    <t>CALABACÍN</t>
  </si>
  <si>
    <t>14-21 g</t>
  </si>
  <si>
    <t>CEBOLLA</t>
  </si>
  <si>
    <t>Albacete</t>
  </si>
  <si>
    <t>40-80</t>
  </si>
  <si>
    <t>CHAMPIÑÓN</t>
  </si>
  <si>
    <t>Cerrado</t>
  </si>
  <si>
    <t>30-65 mm</t>
  </si>
  <si>
    <t>COLIFLOR</t>
  </si>
  <si>
    <t>Barcelona</t>
  </si>
  <si>
    <t>16-20 cm</t>
  </si>
  <si>
    <t>Tarragona</t>
  </si>
  <si>
    <t>COL-REPOLLO</t>
  </si>
  <si>
    <t>Hoja lisa</t>
  </si>
  <si>
    <t>La Coruña</t>
  </si>
  <si>
    <t>Lugo</t>
  </si>
  <si>
    <t>Orense</t>
  </si>
  <si>
    <t>ESCAROLA</t>
  </si>
  <si>
    <t>Lisa</t>
  </si>
  <si>
    <t>ESPINACA</t>
  </si>
  <si>
    <t>FRESA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</si>
  <si>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</si>
  <si>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</si>
  <si>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</si>
  <si>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</si>
  <si>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</si>
  <si>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</si>
  <si>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</si>
  <si>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</si>
  <si>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</si>
  <si>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</si>
  <si>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</si>
  <si>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</si>
  <si>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</si>
  <si>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</si>
  <si>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</si>
  <si>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</si>
  <si>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</si>
  <si>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</si>
  <si>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</si>
  <si>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</si>
  <si>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</si>
  <si>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</si>
  <si>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</si>
  <si>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</si>
  <si>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</si>
  <si>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</si>
  <si>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</si>
  <si>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</si>
  <si>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</si>
  <si>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</si>
  <si>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</si>
  <si>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</si>
  <si>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</si>
  <si>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</si>
  <si>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</si>
  <si>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</si>
  <si>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</si>
  <si>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</si>
  <si>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</si>
  <si>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</si>
  <si>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12
16/03-22/03       2026</t>
  </si>
  <si>
    <t>Semana 13
23/03-29/03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</si>
  <si>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</si>
  <si>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</si>
  <si>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</si>
  <si>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</si>
  <si>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</si>
  <si>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</si>
  <si>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</si>
  <si>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</si>
  <si>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</si>
  <si>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</si>
  <si>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</si>
  <si>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</si>
  <si>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</si>
  <si>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</si>
  <si>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</si>
  <si>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</si>
  <si>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</si>
  <si>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</si>
  <si>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</si>
  <si>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</si>
  <si>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</si>
  <si>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</si>
  <si>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</si>
  <si>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</si>
  <si>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</si>
  <si>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</si>
  <si>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</si>
  <si>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12
16/03-22/03         2026</t>
  </si>
  <si>
    <t>Semana 13
23/03-29/03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</si>
  <si>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</si>
  <si>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</si>
  <si>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</si>
  <si>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</si>
  <si>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</si>
  <si>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</si>
  <si>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</si>
  <si>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</si>
  <si>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</si>
  <si>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</si>
  <si>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</si>
  <si>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</si>
  <si>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</si>
  <si>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</si>
  <si>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</si>
  <si>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</si>
  <si>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</si>
  <si>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</si>
  <si>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</si>
  <si>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</si>
  <si>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</si>
  <si>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</si>
  <si>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</si>
  <si>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</si>
  <si>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</si>
  <si>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</si>
  <si>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</si>
  <si>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</si>
  <si>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</si>
  <si>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</si>
  <si>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</si>
  <si>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</si>
  <si>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</si>
  <si>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</si>
  <si>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</si>
  <si>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</si>
  <si>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</si>
  <si>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</si>
  <si>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</si>
  <si>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</si>
  <si>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</si>
  <si>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</si>
  <si>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</si>
  <si>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</si>
  <si>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</si>
  <si>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</si>
  <si>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</si>
  <si>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</si>
  <si>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</si>
  <si>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</si>
  <si>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</si>
  <si>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</si>
  <si>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</si>
  <si>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</si>
  <si>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</si>
  <si>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</si>
  <si>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</si>
  <si>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</si>
  <si>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</si>
  <si>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12
16/03-22/03    2026</t>
  </si>
  <si>
    <t>Semana 13
23/03-29/03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</si>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</sst>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b/>
      <sz val="9"/>
      <color rgb="FF000000"/>
      <name val="Verdana"/>
      <family val="2"/>
    </font>
    <font>
      <b/>
      <sz val="11"/>
      <color indexed="8"/>
      <name val="Times New Roman"/>
      <family val="1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33" fillId="0" borderId="0"/>
    <xf numFmtId="165" fontId="36" fillId="0" borderId="0"/>
    <xf numFmtId="0" fontId="2" fillId="0" borderId="0"/>
    <xf numFmtId="0" fontId="46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</cellStyleXfs>
  <cellXfs count="77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quotePrefix="1" applyFont="1" applyAlignment="1">
      <alignment horizontal="right"/>
    </xf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4" fontId="5" fillId="3" borderId="2" xfId="2" quotePrefix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49" fontId="3" fillId="4" borderId="15" xfId="2" applyNumberFormat="1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left" vertical="center"/>
    </xf>
    <xf numFmtId="4" fontId="3" fillId="4" borderId="17" xfId="2" applyNumberFormat="1" applyFont="1" applyFill="1" applyBorder="1" applyAlignment="1">
      <alignment horizontal="center" vertical="center"/>
    </xf>
    <xf numFmtId="2" fontId="3" fillId="4" borderId="10" xfId="2" applyNumberFormat="1" applyFont="1" applyFill="1" applyBorder="1" applyAlignment="1">
      <alignment horizontal="center" vertical="center"/>
    </xf>
    <xf numFmtId="2" fontId="3" fillId="4" borderId="12" xfId="2" applyNumberFormat="1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4" fontId="5" fillId="3" borderId="2" xfId="2" quotePrefix="1" applyNumberFormat="1" applyFont="1" applyFill="1" applyBorder="1" applyAlignment="1">
      <alignment horizontal="center"/>
    </xf>
    <xf numFmtId="2" fontId="8" fillId="2" borderId="2" xfId="2" applyNumberFormat="1" applyFont="1" applyFill="1" applyBorder="1" applyAlignment="1">
      <alignment horizontal="center" vertical="center" wrapText="1"/>
    </xf>
    <xf numFmtId="2" fontId="7" fillId="2" borderId="3" xfId="2" applyNumberFormat="1" applyFont="1" applyFill="1" applyBorder="1" applyAlignment="1">
      <alignment horizontal="center" vertical="center" wrapText="1"/>
    </xf>
    <xf numFmtId="49" fontId="3" fillId="4" borderId="15" xfId="2" quotePrefix="1" applyNumberFormat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 vertical="center"/>
    </xf>
    <xf numFmtId="2" fontId="3" fillId="4" borderId="17" xfId="2" applyNumberFormat="1" applyFont="1" applyFill="1" applyBorder="1" applyAlignment="1">
      <alignment horizontal="center" vertical="center"/>
    </xf>
    <xf numFmtId="4" fontId="3" fillId="3" borderId="2" xfId="2" quotePrefix="1" applyNumberFormat="1" applyFont="1" applyFill="1" applyBorder="1" applyAlignment="1">
      <alignment horizontal="center"/>
    </xf>
    <xf numFmtId="2" fontId="8" fillId="2" borderId="3" xfId="2" applyNumberFormat="1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left" vertical="center"/>
    </xf>
    <xf numFmtId="4" fontId="3" fillId="4" borderId="11" xfId="2" applyNumberFormat="1" applyFont="1" applyFill="1" applyBorder="1" applyAlignment="1">
      <alignment horizontal="center" vertical="center"/>
    </xf>
    <xf numFmtId="4" fontId="3" fillId="0" borderId="0" xfId="2" applyNumberFormat="1" applyFont="1"/>
    <xf numFmtId="49" fontId="3" fillId="4" borderId="9" xfId="2" quotePrefix="1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left" vertical="center"/>
    </xf>
    <xf numFmtId="4" fontId="3" fillId="0" borderId="19" xfId="2" applyNumberFormat="1" applyFont="1" applyBorder="1" applyAlignment="1">
      <alignment horizontal="center" vertical="center"/>
    </xf>
    <xf numFmtId="0" fontId="8" fillId="4" borderId="20" xfId="2" applyFont="1" applyFill="1" applyBorder="1" applyAlignment="1">
      <alignment horizontal="left" vertical="center"/>
    </xf>
    <xf numFmtId="4" fontId="3" fillId="4" borderId="20" xfId="2" applyNumberFormat="1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left" vertical="center"/>
    </xf>
    <xf numFmtId="0" fontId="8" fillId="4" borderId="10" xfId="2" applyFont="1" applyFill="1" applyBorder="1" applyAlignment="1">
      <alignment horizontal="left" vertical="center"/>
    </xf>
    <xf numFmtId="4" fontId="3" fillId="4" borderId="16" xfId="2" applyNumberFormat="1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left" vertical="center"/>
    </xf>
    <xf numFmtId="4" fontId="3" fillId="4" borderId="22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2" fontId="3" fillId="3" borderId="2" xfId="2" applyNumberFormat="1" applyFont="1" applyFill="1" applyBorder="1" applyAlignment="1">
      <alignment horizontal="center" vertical="center"/>
    </xf>
    <xf numFmtId="2" fontId="8" fillId="3" borderId="3" xfId="2" applyNumberFormat="1" applyFont="1" applyFill="1" applyBorder="1" applyAlignment="1">
      <alignment horizontal="center" vertical="center"/>
    </xf>
    <xf numFmtId="49" fontId="3" fillId="4" borderId="23" xfId="2" applyNumberFormat="1" applyFont="1" applyFill="1" applyBorder="1" applyAlignment="1">
      <alignment horizontal="center" vertical="center"/>
    </xf>
    <xf numFmtId="0" fontId="3" fillId="4" borderId="24" xfId="2" quotePrefix="1" applyFont="1" applyFill="1" applyBorder="1" applyAlignment="1">
      <alignment horizontal="left" vertical="center"/>
    </xf>
    <xf numFmtId="49" fontId="3" fillId="4" borderId="25" xfId="2" applyNumberFormat="1" applyFont="1" applyFill="1" applyBorder="1" applyAlignment="1">
      <alignment horizontal="center" vertical="center"/>
    </xf>
    <xf numFmtId="0" fontId="3" fillId="4" borderId="26" xfId="2" quotePrefix="1" applyFont="1" applyFill="1" applyBorder="1" applyAlignment="1">
      <alignment horizontal="left" vertical="center"/>
    </xf>
    <xf numFmtId="4" fontId="3" fillId="4" borderId="27" xfId="2" applyNumberFormat="1" applyFont="1" applyFill="1" applyBorder="1" applyAlignment="1">
      <alignment horizontal="center" vertical="center"/>
    </xf>
    <xf numFmtId="49" fontId="3" fillId="3" borderId="28" xfId="2" applyNumberFormat="1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4" fontId="3" fillId="3" borderId="29" xfId="2" applyNumberFormat="1" applyFont="1" applyFill="1" applyBorder="1" applyAlignment="1">
      <alignment horizontal="center" vertical="center"/>
    </xf>
    <xf numFmtId="49" fontId="3" fillId="4" borderId="23" xfId="2" quotePrefix="1" applyNumberFormat="1" applyFont="1" applyFill="1" applyBorder="1" applyAlignment="1">
      <alignment horizontal="center" vertical="center"/>
    </xf>
    <xf numFmtId="4" fontId="3" fillId="4" borderId="24" xfId="2" applyNumberFormat="1" applyFont="1" applyFill="1" applyBorder="1" applyAlignment="1">
      <alignment horizontal="center" vertical="center"/>
    </xf>
    <xf numFmtId="0" fontId="3" fillId="4" borderId="16" xfId="2" quotePrefix="1" applyFont="1" applyFill="1" applyBorder="1" applyAlignment="1">
      <alignment horizontal="left" vertical="center"/>
    </xf>
    <xf numFmtId="49" fontId="3" fillId="0" borderId="15" xfId="2" quotePrefix="1" applyNumberFormat="1" applyFont="1" applyBorder="1" applyAlignment="1">
      <alignment horizontal="center" vertical="center"/>
    </xf>
    <xf numFmtId="0" fontId="3" fillId="0" borderId="16" xfId="2" quotePrefix="1" applyFont="1" applyBorder="1" applyAlignment="1">
      <alignment horizontal="left" vertical="center"/>
    </xf>
    <xf numFmtId="4" fontId="3" fillId="0" borderId="16" xfId="2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left" vertical="center"/>
    </xf>
    <xf numFmtId="49" fontId="3" fillId="4" borderId="25" xfId="2" quotePrefix="1" applyNumberFormat="1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left" vertical="center"/>
    </xf>
    <xf numFmtId="4" fontId="3" fillId="4" borderId="26" xfId="2" applyNumberFormat="1" applyFont="1" applyFill="1" applyBorder="1" applyAlignment="1">
      <alignment horizontal="center" vertical="center"/>
    </xf>
    <xf numFmtId="0" fontId="9" fillId="0" borderId="0" xfId="2" applyFont="1"/>
    <xf numFmtId="49" fontId="3" fillId="4" borderId="30" xfId="2" applyNumberFormat="1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left" vertical="center"/>
    </xf>
    <xf numFmtId="4" fontId="3" fillId="4" borderId="32" xfId="2" applyNumberFormat="1" applyFont="1" applyFill="1" applyBorder="1" applyAlignment="1">
      <alignment horizontal="center" vertical="center"/>
    </xf>
    <xf numFmtId="2" fontId="3" fillId="4" borderId="33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4" fontId="9" fillId="0" borderId="0" xfId="2" applyNumberFormat="1" applyFont="1"/>
    <xf numFmtId="49" fontId="3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left" vertical="center"/>
    </xf>
    <xf numFmtId="4" fontId="3" fillId="4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4" fontId="9" fillId="0" borderId="0" xfId="2" applyNumberFormat="1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/>
    </xf>
    <xf numFmtId="2" fontId="5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4" fontId="5" fillId="0" borderId="0" xfId="2" quotePrefix="1" applyNumberFormat="1" applyFont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2" fontId="3" fillId="0" borderId="0" xfId="2" applyNumberFormat="1" applyFont="1"/>
    <xf numFmtId="0" fontId="5" fillId="0" borderId="0" xfId="2" quotePrefix="1" applyFont="1" applyAlignment="1">
      <alignment horizontal="left" vertical="center"/>
    </xf>
    <xf numFmtId="49" fontId="3" fillId="0" borderId="0" xfId="2" quotePrefix="1" applyNumberFormat="1" applyFont="1" applyAlignment="1">
      <alignment horizontal="center" vertical="center"/>
    </xf>
    <xf numFmtId="2" fontId="12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2" fontId="5" fillId="0" borderId="0" xfId="2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2" fontId="5" fillId="0" borderId="0" xfId="2" quotePrefix="1" applyNumberFormat="1" applyFont="1" applyAlignment="1">
      <alignment horizontal="right" vertical="center"/>
    </xf>
    <xf numFmtId="0" fontId="5" fillId="0" borderId="0" xfId="2" applyFont="1" applyAlignment="1">
      <alignment vertical="center"/>
    </xf>
    <xf numFmtId="0" fontId="3" fillId="0" borderId="0" xfId="2" quotePrefix="1" applyFont="1" applyAlignment="1">
      <alignment horizontal="center" vertical="center"/>
    </xf>
    <xf numFmtId="2" fontId="5" fillId="0" borderId="0" xfId="2" applyNumberFormat="1" applyFont="1" applyAlignment="1">
      <alignment vertical="center"/>
    </xf>
    <xf numFmtId="0" fontId="13" fillId="0" borderId="0" xfId="2" applyFont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13" fillId="0" borderId="0" xfId="2" applyFont="1"/>
    <xf numFmtId="0" fontId="6" fillId="0" borderId="0" xfId="2" applyFont="1" applyAlignment="1">
      <alignment vertical="center" wrapText="1"/>
    </xf>
    <xf numFmtId="0" fontId="7" fillId="0" borderId="3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Continuous" vertical="center" wrapText="1"/>
    </xf>
    <xf numFmtId="0" fontId="7" fillId="0" borderId="14" xfId="2" applyFont="1" applyBorder="1" applyAlignment="1">
      <alignment horizontal="centerContinuous" vertical="center" wrapText="1"/>
    </xf>
    <xf numFmtId="2" fontId="5" fillId="3" borderId="2" xfId="2" applyNumberFormat="1" applyFont="1" applyFill="1" applyBorder="1" applyAlignment="1">
      <alignment horizontal="right" vertical="center"/>
    </xf>
    <xf numFmtId="164" fontId="5" fillId="3" borderId="2" xfId="2" applyNumberFormat="1" applyFont="1" applyFill="1" applyBorder="1" applyAlignment="1">
      <alignment horizontal="right" vertical="center"/>
    </xf>
    <xf numFmtId="2" fontId="5" fillId="3" borderId="3" xfId="2" applyNumberFormat="1" applyFont="1" applyFill="1" applyBorder="1" applyAlignment="1">
      <alignment horizontal="right" vertical="center"/>
    </xf>
    <xf numFmtId="49" fontId="3" fillId="0" borderId="37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4" fontId="3" fillId="0" borderId="10" xfId="1" applyNumberFormat="1" applyFont="1" applyFill="1" applyBorder="1" applyAlignment="1">
      <alignment horizontal="center" vertical="center"/>
    </xf>
    <xf numFmtId="4" fontId="3" fillId="0" borderId="12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vertical="center" wrapText="1"/>
    </xf>
    <xf numFmtId="2" fontId="3" fillId="0" borderId="35" xfId="2" applyNumberFormat="1" applyFont="1" applyBorder="1" applyAlignment="1">
      <alignment horizontal="center" vertical="center"/>
    </xf>
    <xf numFmtId="4" fontId="14" fillId="0" borderId="12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0" fontId="3" fillId="4" borderId="38" xfId="2" quotePrefix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vertical="center"/>
    </xf>
    <xf numFmtId="2" fontId="3" fillId="4" borderId="6" xfId="2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4" fontId="3" fillId="4" borderId="12" xfId="2" applyNumberFormat="1" applyFont="1" applyFill="1" applyBorder="1" applyAlignment="1">
      <alignment horizontal="center" vertical="center"/>
    </xf>
    <xf numFmtId="0" fontId="3" fillId="4" borderId="37" xfId="2" quotePrefix="1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vertical="center"/>
    </xf>
    <xf numFmtId="0" fontId="3" fillId="4" borderId="39" xfId="2" quotePrefix="1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vertical="center"/>
    </xf>
    <xf numFmtId="2" fontId="3" fillId="4" borderId="40" xfId="2" applyNumberFormat="1" applyFont="1" applyFill="1" applyBorder="1" applyAlignment="1">
      <alignment horizontal="center" vertical="center"/>
    </xf>
    <xf numFmtId="4" fontId="3" fillId="4" borderId="4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 vertical="center"/>
    </xf>
    <xf numFmtId="0" fontId="16" fillId="0" borderId="0" xfId="2" applyFont="1"/>
    <xf numFmtId="0" fontId="3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/>
    </xf>
    <xf numFmtId="0" fontId="3" fillId="0" borderId="0" xfId="2" applyFont="1" applyAlignment="1">
      <alignment horizontal="left"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horizontal="center" vertical="top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/>
    <xf numFmtId="14" fontId="21" fillId="0" borderId="0" xfId="2" quotePrefix="1" applyNumberFormat="1" applyFont="1" applyAlignment="1">
      <alignment horizontal="center"/>
    </xf>
    <xf numFmtId="0" fontId="18" fillId="0" borderId="0" xfId="2" applyFont="1" applyAlignment="1">
      <alignment horizontal="centerContinuous" vertical="center" wrapText="1"/>
    </xf>
    <xf numFmtId="49" fontId="20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2" fontId="21" fillId="0" borderId="0" xfId="2" applyNumberFormat="1" applyFont="1" applyAlignment="1">
      <alignment horizontal="right" vertical="center"/>
    </xf>
    <xf numFmtId="164" fontId="21" fillId="0" borderId="0" xfId="2" applyNumberFormat="1" applyFont="1" applyAlignment="1">
      <alignment horizontal="right" vertical="center"/>
    </xf>
    <xf numFmtId="2" fontId="18" fillId="0" borderId="0" xfId="2" applyNumberFormat="1" applyFont="1" applyAlignment="1">
      <alignment horizontal="right" vertical="center"/>
    </xf>
    <xf numFmtId="0" fontId="21" fillId="0" borderId="0" xfId="2" quotePrefix="1" applyFont="1" applyAlignment="1">
      <alignment horizontal="left" vertical="center"/>
    </xf>
    <xf numFmtId="2" fontId="9" fillId="0" borderId="0" xfId="2" applyNumberFormat="1" applyFont="1"/>
    <xf numFmtId="49" fontId="20" fillId="0" borderId="0" xfId="2" quotePrefix="1" applyNumberFormat="1" applyFont="1" applyAlignment="1">
      <alignment horizontal="center" vertical="center"/>
    </xf>
    <xf numFmtId="0" fontId="13" fillId="0" borderId="0" xfId="2" applyFont="1" applyAlignment="1">
      <alignment horizontal="right"/>
    </xf>
    <xf numFmtId="0" fontId="20" fillId="0" borderId="0" xfId="2" quotePrefix="1" applyFont="1" applyAlignment="1">
      <alignment horizontal="center" vertical="center"/>
    </xf>
    <xf numFmtId="0" fontId="21" fillId="0" borderId="0" xfId="2" applyFont="1" applyAlignment="1">
      <alignment vertical="center"/>
    </xf>
    <xf numFmtId="2" fontId="21" fillId="0" borderId="0" xfId="2" applyNumberFormat="1" applyFont="1" applyAlignment="1">
      <alignment vertical="center"/>
    </xf>
    <xf numFmtId="0" fontId="2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2" fillId="0" borderId="4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7" fillId="0" borderId="40" xfId="2" quotePrefix="1" applyFont="1" applyBorder="1" applyAlignment="1">
      <alignment horizontal="center" vertical="center" wrapText="1"/>
    </xf>
    <xf numFmtId="0" fontId="22" fillId="5" borderId="9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5" fillId="6" borderId="0" xfId="2" quotePrefix="1" applyNumberFormat="1" applyFont="1" applyFill="1" applyAlignment="1">
      <alignment horizontal="center"/>
    </xf>
    <xf numFmtId="0" fontId="7" fillId="5" borderId="0" xfId="2" applyFont="1" applyFill="1" applyAlignment="1">
      <alignment horizontal="centerContinuous" vertical="center" wrapText="1"/>
    </xf>
    <xf numFmtId="0" fontId="7" fillId="5" borderId="12" xfId="2" applyFont="1" applyFill="1" applyBorder="1" applyAlignment="1">
      <alignment horizontal="centerContinuous" vertical="center" wrapText="1"/>
    </xf>
    <xf numFmtId="49" fontId="3" fillId="4" borderId="41" xfId="2" applyNumberFormat="1" applyFont="1" applyFill="1" applyBorder="1" applyAlignment="1">
      <alignment horizontal="center" vertical="center"/>
    </xf>
    <xf numFmtId="0" fontId="8" fillId="4" borderId="42" xfId="2" applyFont="1" applyFill="1" applyBorder="1" applyAlignment="1">
      <alignment horizontal="left" vertical="center"/>
    </xf>
    <xf numFmtId="2" fontId="3" fillId="4" borderId="42" xfId="2" applyNumberFormat="1" applyFont="1" applyFill="1" applyBorder="1" applyAlignment="1">
      <alignment horizontal="center" vertical="center"/>
    </xf>
    <xf numFmtId="2" fontId="3" fillId="4" borderId="43" xfId="2" applyNumberFormat="1" applyFont="1" applyFill="1" applyBorder="1" applyAlignment="1">
      <alignment horizontal="center" vertical="center"/>
    </xf>
    <xf numFmtId="2" fontId="3" fillId="4" borderId="44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8" fillId="4" borderId="27" xfId="2" applyNumberFormat="1" applyFont="1" applyFill="1" applyBorder="1" applyAlignment="1">
      <alignment horizontal="center" vertical="center"/>
    </xf>
    <xf numFmtId="2" fontId="8" fillId="4" borderId="12" xfId="2" applyNumberFormat="1" applyFont="1" applyFill="1" applyBorder="1" applyAlignment="1">
      <alignment horizontal="center" vertical="center"/>
    </xf>
    <xf numFmtId="49" fontId="3" fillId="6" borderId="1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2" fontId="3" fillId="6" borderId="2" xfId="2" applyNumberFormat="1" applyFont="1" applyFill="1" applyBorder="1" applyAlignment="1">
      <alignment horizontal="center" vertical="center"/>
    </xf>
    <xf numFmtId="2" fontId="3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3" fillId="4" borderId="24" xfId="2" applyNumberFormat="1" applyFont="1" applyFill="1" applyBorder="1" applyAlignment="1">
      <alignment horizontal="center" vertical="center"/>
    </xf>
    <xf numFmtId="2" fontId="8" fillId="4" borderId="45" xfId="2" applyNumberFormat="1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5" fillId="6" borderId="2" xfId="2" applyFont="1" applyFill="1" applyBorder="1" applyAlignment="1">
      <alignment horizontal="center" vertical="center"/>
    </xf>
    <xf numFmtId="2" fontId="8" fillId="4" borderId="10" xfId="2" applyNumberFormat="1" applyFont="1" applyFill="1" applyBorder="1" applyAlignment="1">
      <alignment horizontal="center" vertical="center"/>
    </xf>
    <xf numFmtId="2" fontId="23" fillId="0" borderId="0" xfId="2" applyNumberFormat="1" applyFont="1"/>
    <xf numFmtId="0" fontId="3" fillId="4" borderId="16" xfId="2" applyFont="1" applyFill="1" applyBorder="1" applyAlignment="1">
      <alignment horizontal="left" vertical="center"/>
    </xf>
    <xf numFmtId="2" fontId="3" fillId="6" borderId="3" xfId="2" applyNumberFormat="1" applyFont="1" applyFill="1" applyBorder="1" applyAlignment="1">
      <alignment horizontal="center" vertical="center"/>
    </xf>
    <xf numFmtId="49" fontId="3" fillId="4" borderId="37" xfId="2" applyNumberFormat="1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vertical="center" wrapText="1"/>
    </xf>
    <xf numFmtId="2" fontId="3" fillId="4" borderId="46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 wrapText="1"/>
    </xf>
    <xf numFmtId="0" fontId="3" fillId="4" borderId="10" xfId="2" quotePrefix="1" applyFont="1" applyFill="1" applyBorder="1" applyAlignment="1">
      <alignment horizontal="left" vertical="center"/>
    </xf>
    <xf numFmtId="0" fontId="3" fillId="4" borderId="10" xfId="2" applyFont="1" applyFill="1" applyBorder="1" applyAlignment="1">
      <alignment vertical="center"/>
    </xf>
    <xf numFmtId="0" fontId="25" fillId="0" borderId="0" xfId="2" applyFont="1"/>
    <xf numFmtId="2" fontId="3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6" fillId="0" borderId="0" xfId="2" applyFont="1"/>
    <xf numFmtId="0" fontId="3" fillId="4" borderId="48" xfId="2" quotePrefix="1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vertical="center"/>
    </xf>
    <xf numFmtId="2" fontId="3" fillId="4" borderId="49" xfId="2" applyNumberFormat="1" applyFont="1" applyFill="1" applyBorder="1" applyAlignment="1">
      <alignment horizontal="center" vertical="center"/>
    </xf>
    <xf numFmtId="2" fontId="3" fillId="4" borderId="50" xfId="2" applyNumberFormat="1" applyFont="1" applyFill="1" applyBorder="1" applyAlignment="1">
      <alignment horizontal="center" vertical="center"/>
    </xf>
    <xf numFmtId="0" fontId="3" fillId="4" borderId="51" xfId="2" quotePrefix="1" applyFont="1" applyFill="1" applyBorder="1" applyAlignment="1">
      <alignment horizontal="center" vertical="center"/>
    </xf>
    <xf numFmtId="0" fontId="3" fillId="4" borderId="52" xfId="2" applyFont="1" applyFill="1" applyBorder="1" applyAlignment="1">
      <alignment vertical="center"/>
    </xf>
    <xf numFmtId="2" fontId="3" fillId="4" borderId="52" xfId="2" applyNumberFormat="1" applyFont="1" applyFill="1" applyBorder="1" applyAlignment="1">
      <alignment horizontal="center" vertical="center"/>
    </xf>
    <xf numFmtId="2" fontId="3" fillId="4" borderId="53" xfId="2" applyNumberFormat="1" applyFont="1" applyFill="1" applyBorder="1" applyAlignment="1">
      <alignment horizontal="center" vertical="center"/>
    </xf>
    <xf numFmtId="2" fontId="3" fillId="4" borderId="54" xfId="2" applyNumberFormat="1" applyFont="1" applyFill="1" applyBorder="1" applyAlignment="1">
      <alignment horizontal="center" vertical="center"/>
    </xf>
    <xf numFmtId="0" fontId="3" fillId="6" borderId="1" xfId="2" quotePrefix="1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 vertical="center"/>
    </xf>
    <xf numFmtId="0" fontId="3" fillId="4" borderId="55" xfId="2" applyFont="1" applyFill="1" applyBorder="1" applyAlignment="1">
      <alignment vertical="center"/>
    </xf>
    <xf numFmtId="2" fontId="3" fillId="0" borderId="56" xfId="2" applyNumberFormat="1" applyFont="1" applyBorder="1" applyAlignment="1">
      <alignment horizontal="center" vertical="center"/>
    </xf>
    <xf numFmtId="2" fontId="3" fillId="0" borderId="55" xfId="2" applyNumberFormat="1" applyFont="1" applyBorder="1" applyAlignment="1">
      <alignment horizontal="center" vertical="center"/>
    </xf>
    <xf numFmtId="2" fontId="3" fillId="0" borderId="57" xfId="2" applyNumberFormat="1" applyFont="1" applyBorder="1" applyAlignment="1">
      <alignment horizontal="center" vertical="center"/>
    </xf>
    <xf numFmtId="0" fontId="3" fillId="4" borderId="58" xfId="2" quotePrefix="1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vertical="center"/>
    </xf>
    <xf numFmtId="2" fontId="3" fillId="0" borderId="60" xfId="2" applyNumberFormat="1" applyFont="1" applyBorder="1" applyAlignment="1">
      <alignment horizontal="center" vertical="center"/>
    </xf>
    <xf numFmtId="2" fontId="3" fillId="0" borderId="59" xfId="2" applyNumberFormat="1" applyFont="1" applyBorder="1" applyAlignment="1">
      <alignment horizontal="center" vertical="center"/>
    </xf>
    <xf numFmtId="2" fontId="3" fillId="0" borderId="61" xfId="2" applyNumberFormat="1" applyFont="1" applyBorder="1" applyAlignment="1">
      <alignment horizontal="center" vertical="center"/>
    </xf>
    <xf numFmtId="0" fontId="3" fillId="4" borderId="29" xfId="2" applyFont="1" applyFill="1" applyBorder="1" applyAlignment="1">
      <alignment vertical="center"/>
    </xf>
    <xf numFmtId="2" fontId="3" fillId="0" borderId="20" xfId="2" applyNumberFormat="1" applyFont="1" applyBorder="1" applyAlignment="1">
      <alignment horizontal="center" vertical="center"/>
    </xf>
    <xf numFmtId="2" fontId="3" fillId="0" borderId="29" xfId="2" applyNumberFormat="1" applyFont="1" applyBorder="1" applyAlignment="1">
      <alignment horizontal="center" vertical="center"/>
    </xf>
    <xf numFmtId="2" fontId="3" fillId="0" borderId="14" xfId="2" applyNumberFormat="1" applyFont="1" applyBorder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2" fillId="0" borderId="0" xfId="2" applyFont="1" applyAlignment="1">
      <alignment horizontal="center" vertical="center"/>
    </xf>
    <xf numFmtId="14" fontId="27" fillId="0" borderId="0" xfId="2" quotePrefix="1" applyNumberFormat="1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2" fontId="27" fillId="0" borderId="0" xfId="2" applyNumberFormat="1" applyFont="1" applyAlignment="1">
      <alignment horizontal="right" vertical="center"/>
    </xf>
    <xf numFmtId="164" fontId="27" fillId="0" borderId="0" xfId="2" applyNumberFormat="1" applyFont="1" applyAlignment="1">
      <alignment horizontal="right" vertical="center"/>
    </xf>
    <xf numFmtId="0" fontId="20" fillId="0" borderId="0" xfId="3" applyNumberFormat="1" applyFont="1" applyFill="1" applyBorder="1" applyAlignment="1"/>
    <xf numFmtId="0" fontId="5" fillId="0" borderId="0" xfId="3" quotePrefix="1" applyNumberFormat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vertical="center"/>
    </xf>
    <xf numFmtId="0" fontId="28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21" fillId="7" borderId="62" xfId="3" applyFont="1" applyFill="1" applyBorder="1" applyAlignment="1">
      <alignment vertical="center" wrapText="1"/>
    </xf>
    <xf numFmtId="0" fontId="21" fillId="7" borderId="62" xfId="3" applyNumberFormat="1" applyFont="1" applyFill="1" applyBorder="1" applyAlignment="1" applyProtection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center" wrapText="1"/>
    </xf>
    <xf numFmtId="49" fontId="29" fillId="4" borderId="64" xfId="0" applyNumberFormat="1" applyFont="1" applyFill="1" applyBorder="1" applyAlignment="1">
      <alignment horizontal="left" vertical="center" wrapText="1"/>
    </xf>
    <xf numFmtId="2" fontId="29" fillId="4" borderId="65" xfId="0" applyNumberFormat="1" applyFont="1" applyFill="1" applyBorder="1" applyAlignment="1">
      <alignment horizontal="center" vertical="center" wrapText="1"/>
    </xf>
    <xf numFmtId="2" fontId="18" fillId="4" borderId="65" xfId="0" quotePrefix="1" applyNumberFormat="1" applyFont="1" applyFill="1" applyBorder="1" applyAlignment="1">
      <alignment horizontal="center" vertical="center" wrapText="1"/>
    </xf>
    <xf numFmtId="0" fontId="30" fillId="4" borderId="63" xfId="3" applyFont="1" applyFill="1" applyBorder="1" applyAlignment="1" applyProtection="1">
      <alignment horizontal="left" vertical="top" wrapText="1"/>
    </xf>
    <xf numFmtId="0" fontId="30" fillId="4" borderId="66" xfId="3" applyFont="1" applyFill="1" applyBorder="1" applyAlignment="1" applyProtection="1">
      <alignment horizontal="left" vertical="top" wrapText="1"/>
    </xf>
    <xf numFmtId="49" fontId="29" fillId="4" borderId="67" xfId="0" applyNumberFormat="1" applyFont="1" applyFill="1" applyBorder="1" applyAlignment="1">
      <alignment horizontal="left" vertical="center" wrapText="1"/>
    </xf>
    <xf numFmtId="2" fontId="29" fillId="4" borderId="68" xfId="0" applyNumberFormat="1" applyFont="1" applyFill="1" applyBorder="1" applyAlignment="1">
      <alignment horizontal="center" vertical="center" wrapText="1"/>
    </xf>
    <xf numFmtId="2" fontId="18" fillId="4" borderId="69" xfId="0" quotePrefix="1" applyNumberFormat="1" applyFont="1" applyFill="1" applyBorder="1" applyAlignment="1">
      <alignment horizontal="center" vertical="center" wrapText="1"/>
    </xf>
    <xf numFmtId="49" fontId="18" fillId="4" borderId="64" xfId="3" applyNumberFormat="1" applyFont="1" applyFill="1" applyBorder="1" applyAlignment="1" applyProtection="1">
      <alignment horizontal="left" vertical="center" wrapText="1"/>
    </xf>
    <xf numFmtId="49" fontId="18" fillId="4" borderId="67" xfId="3" applyNumberFormat="1" applyFont="1" applyFill="1" applyBorder="1" applyAlignment="1" applyProtection="1">
      <alignment horizontal="left" vertical="center" wrapText="1"/>
    </xf>
    <xf numFmtId="0" fontId="11" fillId="0" borderId="0" xfId="3" applyNumberFormat="1" applyFont="1" applyFill="1" applyBorder="1" applyAlignment="1"/>
    <xf numFmtId="0" fontId="11" fillId="0" borderId="0" xfId="3" applyNumberFormat="1" applyFont="1" applyFill="1" applyBorder="1" applyAlignment="1">
      <alignment horizontal="center" vertical="center"/>
    </xf>
    <xf numFmtId="0" fontId="27" fillId="0" borderId="0" xfId="3" applyNumberFormat="1" applyFont="1" applyFill="1" applyBorder="1" applyAlignment="1">
      <alignment horizontal="center" vertical="distributed"/>
    </xf>
    <xf numFmtId="0" fontId="27" fillId="0" borderId="29" xfId="3" applyNumberFormat="1" applyFont="1" applyFill="1" applyBorder="1" applyAlignment="1">
      <alignment horizontal="center" vertical="distributed"/>
    </xf>
    <xf numFmtId="0" fontId="21" fillId="7" borderId="1" xfId="3" applyNumberFormat="1" applyFont="1" applyFill="1" applyBorder="1" applyAlignment="1" applyProtection="1">
      <alignment horizontal="center" vertical="center" wrapText="1"/>
    </xf>
    <xf numFmtId="2" fontId="18" fillId="4" borderId="65" xfId="0" applyNumberFormat="1" applyFont="1" applyFill="1" applyBorder="1" applyAlignment="1">
      <alignment horizontal="center" vertical="center" wrapText="1"/>
    </xf>
    <xf numFmtId="2" fontId="20" fillId="0" borderId="0" xfId="3" applyNumberFormat="1" applyFont="1" applyFill="1" applyBorder="1" applyAlignment="1"/>
    <xf numFmtId="2" fontId="18" fillId="4" borderId="68" xfId="0" applyNumberFormat="1" applyFont="1" applyFill="1" applyBorder="1" applyAlignment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top" wrapText="1"/>
    </xf>
    <xf numFmtId="2" fontId="29" fillId="4" borderId="65" xfId="0" applyNumberFormat="1" applyFont="1" applyFill="1" applyBorder="1" applyAlignment="1">
      <alignment horizontal="center" vertical="top" wrapText="1"/>
    </xf>
    <xf numFmtId="2" fontId="18" fillId="4" borderId="65" xfId="0" applyNumberFormat="1" applyFont="1" applyFill="1" applyBorder="1" applyAlignment="1">
      <alignment horizontal="center" vertical="top" wrapText="1"/>
    </xf>
    <xf numFmtId="2" fontId="29" fillId="4" borderId="68" xfId="0" applyNumberFormat="1" applyFont="1" applyFill="1" applyBorder="1" applyAlignment="1">
      <alignment horizontal="center" vertical="top" wrapText="1"/>
    </xf>
    <xf numFmtId="2" fontId="18" fillId="4" borderId="68" xfId="0" applyNumberFormat="1" applyFont="1" applyFill="1" applyBorder="1" applyAlignment="1">
      <alignment horizontal="center" vertical="top" wrapText="1"/>
    </xf>
    <xf numFmtId="0" fontId="11" fillId="0" borderId="0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>
      <alignment horizontal="center" vertical="distributed"/>
    </xf>
    <xf numFmtId="0" fontId="21" fillId="0" borderId="0" xfId="3" applyNumberFormat="1" applyFont="1" applyFill="1" applyBorder="1" applyAlignment="1">
      <alignment horizontal="center" vertical="distributed" wrapText="1"/>
    </xf>
    <xf numFmtId="0" fontId="21" fillId="0" borderId="29" xfId="3" applyNumberFormat="1" applyFont="1" applyFill="1" applyBorder="1" applyAlignment="1">
      <alignment horizontal="center" vertical="distributed" wrapText="1"/>
    </xf>
    <xf numFmtId="49" fontId="18" fillId="4" borderId="70" xfId="3" applyNumberFormat="1" applyFont="1" applyFill="1" applyBorder="1" applyAlignment="1" applyProtection="1">
      <alignment horizontal="left" vertical="top" wrapText="1"/>
    </xf>
    <xf numFmtId="49" fontId="29" fillId="4" borderId="71" xfId="3" applyNumberFormat="1" applyFont="1" applyFill="1" applyBorder="1" applyAlignment="1" applyProtection="1">
      <alignment horizontal="left" vertical="top" wrapText="1"/>
    </xf>
    <xf numFmtId="2" fontId="29" fillId="4" borderId="72" xfId="0" applyNumberFormat="1" applyFont="1" applyFill="1" applyBorder="1" applyAlignment="1">
      <alignment horizontal="center" vertical="top" wrapText="1"/>
    </xf>
    <xf numFmtId="49" fontId="29" fillId="4" borderId="64" xfId="3" applyNumberFormat="1" applyFont="1" applyFill="1" applyBorder="1" applyAlignment="1" applyProtection="1">
      <alignment horizontal="left" vertical="top" wrapText="1"/>
    </xf>
    <xf numFmtId="49" fontId="18" fillId="4" borderId="66" xfId="3" applyNumberFormat="1" applyFont="1" applyFill="1" applyBorder="1" applyAlignment="1" applyProtection="1">
      <alignment horizontal="left" vertical="top" wrapText="1"/>
    </xf>
    <xf numFmtId="49" fontId="29" fillId="4" borderId="67" xfId="3" applyNumberFormat="1" applyFont="1" applyFill="1" applyBorder="1" applyAlignment="1" applyProtection="1">
      <alignment horizontal="left" vertical="top" wrapText="1"/>
    </xf>
    <xf numFmtId="49" fontId="29" fillId="4" borderId="69" xfId="3" applyNumberFormat="1" applyFont="1" applyFill="1" applyBorder="1" applyAlignment="1" applyProtection="1">
      <alignment horizontal="left" vertical="top" wrapText="1"/>
    </xf>
    <xf numFmtId="2" fontId="29" fillId="4" borderId="73" xfId="0" applyNumberFormat="1" applyFont="1" applyFill="1" applyBorder="1" applyAlignment="1">
      <alignment horizontal="center" vertical="top" wrapText="1"/>
    </xf>
    <xf numFmtId="2" fontId="18" fillId="4" borderId="69" xfId="0" applyNumberFormat="1" applyFont="1" applyFill="1" applyBorder="1" applyAlignment="1">
      <alignment horizontal="center" vertical="top" wrapText="1"/>
    </xf>
    <xf numFmtId="2" fontId="18" fillId="4" borderId="64" xfId="0" applyNumberFormat="1" applyFont="1" applyFill="1" applyBorder="1" applyAlignment="1">
      <alignment horizontal="center" vertical="top" wrapText="1"/>
    </xf>
    <xf numFmtId="49" fontId="29" fillId="0" borderId="64" xfId="3" applyNumberFormat="1" applyFont="1" applyFill="1" applyBorder="1" applyAlignment="1" applyProtection="1">
      <alignment horizontal="left" vertical="top" wrapText="1"/>
    </xf>
    <xf numFmtId="2" fontId="18" fillId="4" borderId="69" xfId="0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1" fillId="7" borderId="62" xfId="2" applyFont="1" applyFill="1" applyBorder="1" applyAlignment="1">
      <alignment vertical="center" wrapText="1"/>
    </xf>
    <xf numFmtId="0" fontId="21" fillId="7" borderId="62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49" fontId="29" fillId="4" borderId="16" xfId="0" applyNumberFormat="1" applyFont="1" applyFill="1" applyBorder="1" applyAlignment="1">
      <alignment horizontal="left" vertical="top" wrapText="1"/>
    </xf>
    <xf numFmtId="2" fontId="29" fillId="4" borderId="74" xfId="0" applyNumberFormat="1" applyFont="1" applyFill="1" applyBorder="1" applyAlignment="1">
      <alignment horizontal="center" vertical="top" wrapText="1"/>
    </xf>
    <xf numFmtId="2" fontId="18" fillId="4" borderId="65" xfId="3" applyNumberFormat="1" applyFont="1" applyFill="1" applyBorder="1" applyAlignment="1" applyProtection="1">
      <alignment horizontal="center" vertical="top" wrapText="1"/>
    </xf>
    <xf numFmtId="0" fontId="20" fillId="0" borderId="75" xfId="2" applyFont="1" applyBorder="1"/>
    <xf numFmtId="2" fontId="29" fillId="4" borderId="17" xfId="3" applyNumberFormat="1" applyFont="1" applyFill="1" applyBorder="1" applyAlignment="1" applyProtection="1">
      <alignment horizontal="left" vertical="top" wrapText="1"/>
    </xf>
    <xf numFmtId="2" fontId="29" fillId="4" borderId="75" xfId="0" applyNumberFormat="1" applyFont="1" applyFill="1" applyBorder="1" applyAlignment="1">
      <alignment horizontal="center" vertical="top" wrapText="1"/>
    </xf>
    <xf numFmtId="0" fontId="20" fillId="0" borderId="76" xfId="2" applyFont="1" applyBorder="1"/>
    <xf numFmtId="2" fontId="29" fillId="4" borderId="77" xfId="3" applyNumberFormat="1" applyFont="1" applyFill="1" applyBorder="1" applyAlignment="1" applyProtection="1">
      <alignment horizontal="left" vertical="top" wrapText="1"/>
    </xf>
    <xf numFmtId="2" fontId="29" fillId="4" borderId="76" xfId="0" applyNumberFormat="1" applyFont="1" applyFill="1" applyBorder="1" applyAlignment="1">
      <alignment horizontal="center" vertical="top" wrapText="1"/>
    </xf>
    <xf numFmtId="0" fontId="21" fillId="0" borderId="74" xfId="2" applyFont="1" applyBorder="1"/>
    <xf numFmtId="2" fontId="21" fillId="4" borderId="1" xfId="2" applyNumberFormat="1" applyFont="1" applyFill="1" applyBorder="1" applyAlignment="1">
      <alignment horizontal="center" vertical="center" wrapText="1"/>
    </xf>
    <xf numFmtId="2" fontId="21" fillId="4" borderId="2" xfId="2" applyNumberFormat="1" applyFont="1" applyFill="1" applyBorder="1" applyAlignment="1">
      <alignment horizontal="center" vertical="center" wrapText="1"/>
    </xf>
    <xf numFmtId="2" fontId="21" fillId="4" borderId="3" xfId="2" applyNumberFormat="1" applyFont="1" applyFill="1" applyBorder="1" applyAlignment="1">
      <alignment horizontal="center" vertical="center" wrapText="1"/>
    </xf>
    <xf numFmtId="2" fontId="29" fillId="4" borderId="78" xfId="3" applyNumberFormat="1" applyFont="1" applyFill="1" applyBorder="1" applyAlignment="1" applyProtection="1">
      <alignment horizontal="left" vertical="top" wrapText="1"/>
    </xf>
    <xf numFmtId="2" fontId="18" fillId="4" borderId="79" xfId="0" applyNumberFormat="1" applyFont="1" applyFill="1" applyBorder="1" applyAlignment="1">
      <alignment horizontal="center" vertical="top" wrapText="1"/>
    </xf>
    <xf numFmtId="0" fontId="20" fillId="0" borderId="0" xfId="3" applyNumberFormat="1" applyFont="1" applyFill="1" applyBorder="1" applyAlignment="1">
      <alignment horizontal="right"/>
    </xf>
    <xf numFmtId="0" fontId="31" fillId="4" borderId="0" xfId="4" applyFont="1" applyFill="1"/>
    <xf numFmtId="0" fontId="5" fillId="4" borderId="0" xfId="4" quotePrefix="1" applyFont="1" applyFill="1" applyAlignment="1">
      <alignment horizontal="right"/>
    </xf>
    <xf numFmtId="0" fontId="31" fillId="0" borderId="0" xfId="4" applyFont="1"/>
    <xf numFmtId="0" fontId="1" fillId="0" borderId="0" xfId="4"/>
    <xf numFmtId="0" fontId="20" fillId="4" borderId="0" xfId="4" applyFont="1" applyFill="1"/>
    <xf numFmtId="0" fontId="32" fillId="0" borderId="0" xfId="4" applyFont="1"/>
    <xf numFmtId="0" fontId="21" fillId="4" borderId="0" xfId="4" applyFont="1" applyFill="1" applyAlignment="1">
      <alignment horizontal="center" vertical="center"/>
    </xf>
    <xf numFmtId="0" fontId="31" fillId="0" borderId="0" xfId="4" applyFont="1" applyAlignment="1">
      <alignment vertical="center"/>
    </xf>
    <xf numFmtId="0" fontId="21" fillId="4" borderId="0" xfId="4" applyFont="1" applyFill="1"/>
    <xf numFmtId="0" fontId="21" fillId="7" borderId="74" xfId="3" applyNumberFormat="1" applyFont="1" applyFill="1" applyBorder="1" applyAlignment="1" applyProtection="1">
      <alignment horizontal="center" vertical="center" wrapText="1"/>
    </xf>
    <xf numFmtId="0" fontId="21" fillId="4" borderId="4" xfId="4" applyFont="1" applyFill="1" applyBorder="1"/>
    <xf numFmtId="0" fontId="20" fillId="4" borderId="74" xfId="4" applyFont="1" applyFill="1" applyBorder="1"/>
    <xf numFmtId="2" fontId="18" fillId="4" borderId="75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/>
    <xf numFmtId="0" fontId="20" fillId="4" borderId="75" xfId="4" applyFont="1" applyFill="1" applyBorder="1"/>
    <xf numFmtId="0" fontId="21" fillId="4" borderId="76" xfId="4" applyFont="1" applyFill="1" applyBorder="1"/>
    <xf numFmtId="0" fontId="20" fillId="4" borderId="76" xfId="4" applyFont="1" applyFill="1" applyBorder="1"/>
    <xf numFmtId="2" fontId="29" fillId="4" borderId="80" xfId="0" applyNumberFormat="1" applyFont="1" applyFill="1" applyBorder="1" applyAlignment="1">
      <alignment horizontal="center" vertical="top" wrapText="1"/>
    </xf>
    <xf numFmtId="2" fontId="18" fillId="4" borderId="80" xfId="0" applyNumberFormat="1" applyFont="1" applyFill="1" applyBorder="1" applyAlignment="1">
      <alignment horizontal="center" vertical="top" wrapText="1"/>
    </xf>
    <xf numFmtId="2" fontId="29" fillId="4" borderId="81" xfId="0" applyNumberFormat="1" applyFont="1" applyFill="1" applyBorder="1" applyAlignment="1">
      <alignment horizontal="center" vertical="top" wrapText="1"/>
    </xf>
    <xf numFmtId="2" fontId="18" fillId="4" borderId="76" xfId="0" applyNumberFormat="1" applyFont="1" applyFill="1" applyBorder="1" applyAlignment="1">
      <alignment horizontal="center" vertical="top" wrapText="1"/>
    </xf>
    <xf numFmtId="49" fontId="29" fillId="4" borderId="64" xfId="0" applyNumberFormat="1" applyFont="1" applyFill="1" applyBorder="1" applyAlignment="1">
      <alignment horizontal="left" vertical="top" wrapText="1"/>
    </xf>
    <xf numFmtId="2" fontId="29" fillId="4" borderId="75" xfId="0" quotePrefix="1" applyNumberFormat="1" applyFont="1" applyFill="1" applyBorder="1" applyAlignment="1">
      <alignment horizontal="center" vertical="top" wrapText="1"/>
    </xf>
    <xf numFmtId="0" fontId="21" fillId="4" borderId="28" xfId="4" applyFont="1" applyFill="1" applyBorder="1"/>
    <xf numFmtId="49" fontId="29" fillId="4" borderId="67" xfId="0" applyNumberFormat="1" applyFont="1" applyFill="1" applyBorder="1" applyAlignment="1">
      <alignment horizontal="left" vertical="top" wrapText="1"/>
    </xf>
    <xf numFmtId="0" fontId="21" fillId="4" borderId="62" xfId="4" applyFont="1" applyFill="1" applyBorder="1"/>
    <xf numFmtId="2" fontId="29" fillId="4" borderId="82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 applyAlignment="1">
      <alignment horizontal="left"/>
    </xf>
    <xf numFmtId="0" fontId="20" fillId="4" borderId="74" xfId="4" applyFont="1" applyFill="1" applyBorder="1" applyAlignment="1">
      <alignment vertical="center"/>
    </xf>
    <xf numFmtId="0" fontId="20" fillId="4" borderId="75" xfId="4" applyFont="1" applyFill="1" applyBorder="1" applyAlignment="1">
      <alignment vertical="center"/>
    </xf>
    <xf numFmtId="14" fontId="21" fillId="4" borderId="28" xfId="4" applyNumberFormat="1" applyFont="1" applyFill="1" applyBorder="1" applyAlignment="1">
      <alignment horizontal="left"/>
    </xf>
    <xf numFmtId="0" fontId="20" fillId="4" borderId="76" xfId="4" applyFont="1" applyFill="1" applyBorder="1" applyAlignment="1">
      <alignment vertical="center"/>
    </xf>
    <xf numFmtId="0" fontId="21" fillId="4" borderId="83" xfId="4" applyFont="1" applyFill="1" applyBorder="1" applyAlignment="1">
      <alignment horizontal="left"/>
    </xf>
    <xf numFmtId="0" fontId="20" fillId="4" borderId="0" xfId="5" applyFont="1" applyFill="1" applyAlignment="1">
      <alignment horizontal="center" vertical="center"/>
    </xf>
    <xf numFmtId="0" fontId="20" fillId="4" borderId="0" xfId="5" applyFont="1" applyFill="1"/>
    <xf numFmtId="0" fontId="34" fillId="4" borderId="0" xfId="5" applyFont="1" applyFill="1"/>
    <xf numFmtId="37" fontId="21" fillId="4" borderId="0" xfId="5" quotePrefix="1" applyNumberFormat="1" applyFont="1" applyFill="1" applyAlignment="1">
      <alignment horizontal="center"/>
    </xf>
    <xf numFmtId="37" fontId="21" fillId="4" borderId="0" xfId="5" quotePrefix="1" applyNumberFormat="1" applyFont="1" applyFill="1" applyAlignment="1">
      <alignment horizontal="right"/>
    </xf>
    <xf numFmtId="37" fontId="5" fillId="4" borderId="0" xfId="5" quotePrefix="1" applyNumberFormat="1" applyFont="1" applyFill="1" applyAlignment="1">
      <alignment horizontal="right"/>
    </xf>
    <xf numFmtId="37" fontId="35" fillId="4" borderId="0" xfId="5" quotePrefix="1" applyNumberFormat="1" applyFont="1" applyFill="1" applyAlignment="1">
      <alignment horizontal="right"/>
    </xf>
    <xf numFmtId="0" fontId="4" fillId="0" borderId="0" xfId="2" applyFont="1" applyAlignment="1">
      <alignment horizontal="left" vertical="center" wrapText="1"/>
    </xf>
    <xf numFmtId="165" fontId="34" fillId="0" borderId="0" xfId="6" applyFont="1" applyAlignment="1">
      <alignment horizontal="center"/>
    </xf>
    <xf numFmtId="0" fontId="6" fillId="0" borderId="29" xfId="2" applyFont="1" applyBorder="1" applyAlignment="1">
      <alignment horizontal="left" vertical="top" wrapText="1"/>
    </xf>
    <xf numFmtId="166" fontId="35" fillId="4" borderId="0" xfId="5" applyNumberFormat="1" applyFont="1" applyFill="1" applyAlignment="1">
      <alignment horizontal="center"/>
    </xf>
    <xf numFmtId="166" fontId="5" fillId="4" borderId="4" xfId="5" applyNumberFormat="1" applyFont="1" applyFill="1" applyBorder="1" applyAlignment="1">
      <alignment horizontal="center" vertical="center" wrapText="1"/>
    </xf>
    <xf numFmtId="166" fontId="5" fillId="4" borderId="5" xfId="5" applyNumberFormat="1" applyFont="1" applyFill="1" applyBorder="1" applyAlignment="1">
      <alignment horizontal="center" vertical="center" wrapText="1"/>
    </xf>
    <xf numFmtId="166" fontId="5" fillId="4" borderId="8" xfId="5" applyNumberFormat="1" applyFont="1" applyFill="1" applyBorder="1" applyAlignment="1">
      <alignment horizontal="center" vertical="center" wrapText="1"/>
    </xf>
    <xf numFmtId="166" fontId="5" fillId="4" borderId="28" xfId="5" applyNumberFormat="1" applyFont="1" applyFill="1" applyBorder="1" applyAlignment="1">
      <alignment horizontal="center" vertical="center" wrapText="1"/>
    </xf>
    <xf numFmtId="166" fontId="5" fillId="4" borderId="29" xfId="5" applyNumberFormat="1" applyFont="1" applyFill="1" applyBorder="1" applyAlignment="1">
      <alignment horizontal="center" vertical="center" wrapText="1"/>
    </xf>
    <xf numFmtId="166" fontId="5" fillId="4" borderId="14" xfId="5" applyNumberFormat="1" applyFont="1" applyFill="1" applyBorder="1" applyAlignment="1">
      <alignment horizontal="center" vertical="center" wrapText="1"/>
    </xf>
    <xf numFmtId="166" fontId="11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/>
    <xf numFmtId="166" fontId="6" fillId="4" borderId="29" xfId="5" applyNumberFormat="1" applyFont="1" applyFill="1" applyBorder="1"/>
    <xf numFmtId="166" fontId="37" fillId="4" borderId="0" xfId="5" applyNumberFormat="1" applyFont="1" applyFill="1" applyAlignment="1">
      <alignment horizontal="center"/>
    </xf>
    <xf numFmtId="166" fontId="21" fillId="8" borderId="38" xfId="5" applyNumberFormat="1" applyFont="1" applyFill="1" applyBorder="1" applyAlignment="1">
      <alignment horizontal="center"/>
    </xf>
    <xf numFmtId="166" fontId="21" fillId="8" borderId="6" xfId="5" quotePrefix="1" applyNumberFormat="1" applyFont="1" applyFill="1" applyBorder="1" applyAlignment="1">
      <alignment horizontal="center"/>
    </xf>
    <xf numFmtId="166" fontId="21" fillId="8" borderId="6" xfId="5" applyNumberFormat="1" applyFont="1" applyFill="1" applyBorder="1" applyAlignment="1">
      <alignment horizontal="center"/>
    </xf>
    <xf numFmtId="166" fontId="21" fillId="8" borderId="84" xfId="5" applyNumberFormat="1" applyFont="1" applyFill="1" applyBorder="1" applyAlignment="1">
      <alignment horizontal="left"/>
    </xf>
    <xf numFmtId="166" fontId="21" fillId="8" borderId="5" xfId="5" applyNumberFormat="1" applyFont="1" applyFill="1" applyBorder="1"/>
    <xf numFmtId="166" fontId="21" fillId="8" borderId="5" xfId="5" applyNumberFormat="1" applyFont="1" applyFill="1" applyBorder="1" applyAlignment="1">
      <alignment horizontal="left"/>
    </xf>
    <xf numFmtId="166" fontId="21" fillId="8" borderId="55" xfId="5" applyNumberFormat="1" applyFont="1" applyFill="1" applyBorder="1"/>
    <xf numFmtId="166" fontId="21" fillId="8" borderId="57" xfId="5" applyNumberFormat="1" applyFont="1" applyFill="1" applyBorder="1"/>
    <xf numFmtId="166" fontId="35" fillId="9" borderId="0" xfId="5" applyNumberFormat="1" applyFont="1" applyFill="1"/>
    <xf numFmtId="166" fontId="21" fillId="8" borderId="51" xfId="5" applyNumberFormat="1" applyFont="1" applyFill="1" applyBorder="1"/>
    <xf numFmtId="166" fontId="21" fillId="8" borderId="52" xfId="5" applyNumberFormat="1" applyFont="1" applyFill="1" applyBorder="1"/>
    <xf numFmtId="166" fontId="21" fillId="8" borderId="52" xfId="5" applyNumberFormat="1" applyFont="1" applyFill="1" applyBorder="1" applyAlignment="1">
      <alignment horizontal="center"/>
    </xf>
    <xf numFmtId="167" fontId="21" fillId="7" borderId="53" xfId="5" applyNumberFormat="1" applyFont="1" applyFill="1" applyBorder="1" applyAlignment="1">
      <alignment horizontal="center"/>
    </xf>
    <xf numFmtId="167" fontId="38" fillId="10" borderId="85" xfId="5" applyNumberFormat="1" applyFont="1" applyFill="1" applyBorder="1" applyAlignment="1">
      <alignment horizontal="center"/>
    </xf>
    <xf numFmtId="167" fontId="35" fillId="4" borderId="0" xfId="5" applyNumberFormat="1" applyFont="1" applyFill="1" applyAlignment="1">
      <alignment horizontal="center"/>
    </xf>
    <xf numFmtId="166" fontId="21" fillId="4" borderId="86" xfId="5" applyNumberFormat="1" applyFont="1" applyFill="1" applyBorder="1" applyAlignment="1">
      <alignment horizontal="center" vertical="center"/>
    </xf>
    <xf numFmtId="166" fontId="21" fillId="4" borderId="87" xfId="5" applyNumberFormat="1" applyFont="1" applyFill="1" applyBorder="1" applyAlignment="1">
      <alignment horizontal="center" vertical="center"/>
    </xf>
    <xf numFmtId="166" fontId="21" fillId="4" borderId="53" xfId="5" applyNumberFormat="1" applyFont="1" applyFill="1" applyBorder="1" applyAlignment="1">
      <alignment horizontal="center" vertical="center"/>
    </xf>
    <xf numFmtId="2" fontId="20" fillId="4" borderId="53" xfId="5" applyNumberFormat="1" applyFont="1" applyFill="1" applyBorder="1" applyAlignment="1">
      <alignment horizontal="center" vertical="center"/>
    </xf>
    <xf numFmtId="2" fontId="20" fillId="4" borderId="53" xfId="5" quotePrefix="1" applyNumberFormat="1" applyFont="1" applyFill="1" applyBorder="1" applyAlignment="1">
      <alignment horizontal="center" vertical="center"/>
    </xf>
    <xf numFmtId="2" fontId="20" fillId="4" borderId="54" xfId="5" quotePrefix="1" applyNumberFormat="1" applyFont="1" applyFill="1" applyBorder="1" applyAlignment="1">
      <alignment horizontal="center" vertical="center"/>
    </xf>
    <xf numFmtId="2" fontId="21" fillId="4" borderId="61" xfId="5" quotePrefix="1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center"/>
    </xf>
    <xf numFmtId="0" fontId="34" fillId="4" borderId="0" xfId="5" applyFont="1" applyFill="1" applyAlignment="1">
      <alignment vertical="center"/>
    </xf>
    <xf numFmtId="166" fontId="21" fillId="4" borderId="37" xfId="5" applyNumberFormat="1" applyFont="1" applyFill="1" applyBorder="1" applyAlignment="1">
      <alignment horizontal="center" vertical="center"/>
    </xf>
    <xf numFmtId="0" fontId="34" fillId="4" borderId="37" xfId="5" applyFont="1" applyFill="1" applyBorder="1" applyAlignment="1">
      <alignment vertical="center"/>
    </xf>
    <xf numFmtId="166" fontId="21" fillId="4" borderId="39" xfId="5" applyNumberFormat="1" applyFont="1" applyFill="1" applyBorder="1" applyAlignment="1">
      <alignment horizontal="center" vertical="center"/>
    </xf>
    <xf numFmtId="166" fontId="21" fillId="4" borderId="88" xfId="5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2" fontId="20" fillId="4" borderId="89" xfId="5" applyNumberFormat="1" applyFont="1" applyFill="1" applyBorder="1" applyAlignment="1">
      <alignment horizontal="center" vertical="center"/>
    </xf>
    <xf numFmtId="2" fontId="20" fillId="4" borderId="89" xfId="5" quotePrefix="1" applyNumberFormat="1" applyFont="1" applyFill="1" applyBorder="1" applyAlignment="1">
      <alignment horizontal="center" vertical="center"/>
    </xf>
    <xf numFmtId="2" fontId="20" fillId="4" borderId="90" xfId="5" quotePrefix="1" applyNumberFormat="1" applyFont="1" applyFill="1" applyBorder="1" applyAlignment="1">
      <alignment horizontal="center" vertical="center"/>
    </xf>
    <xf numFmtId="2" fontId="21" fillId="4" borderId="91" xfId="5" quotePrefix="1" applyNumberFormat="1" applyFont="1" applyFill="1" applyBorder="1" applyAlignment="1">
      <alignment horizontal="center" vertical="center"/>
    </xf>
    <xf numFmtId="166" fontId="11" fillId="4" borderId="0" xfId="5" quotePrefix="1" applyNumberFormat="1" applyFont="1" applyFill="1" applyAlignment="1">
      <alignment horizontal="center"/>
    </xf>
    <xf numFmtId="166" fontId="21" fillId="4" borderId="0" xfId="5" applyNumberFormat="1" applyFont="1" applyFill="1" applyAlignment="1">
      <alignment horizontal="center"/>
    </xf>
    <xf numFmtId="166" fontId="21" fillId="8" borderId="56" xfId="5" applyNumberFormat="1" applyFont="1" applyFill="1" applyBorder="1" applyAlignment="1">
      <alignment horizontal="left"/>
    </xf>
    <xf numFmtId="166" fontId="21" fillId="8" borderId="55" xfId="5" applyNumberFormat="1" applyFont="1" applyFill="1" applyBorder="1" applyAlignment="1">
      <alignment horizontal="left"/>
    </xf>
    <xf numFmtId="166" fontId="21" fillId="8" borderId="8" xfId="5" applyNumberFormat="1" applyFont="1" applyFill="1" applyBorder="1"/>
    <xf numFmtId="166" fontId="21" fillId="8" borderId="37" xfId="5" applyNumberFormat="1" applyFont="1" applyFill="1" applyBorder="1"/>
    <xf numFmtId="166" fontId="21" fillId="8" borderId="10" xfId="5" applyNumberFormat="1" applyFont="1" applyFill="1" applyBorder="1"/>
    <xf numFmtId="166" fontId="21" fillId="8" borderId="10" xfId="5" applyNumberFormat="1" applyFont="1" applyFill="1" applyBorder="1" applyAlignment="1">
      <alignment horizontal="center"/>
    </xf>
    <xf numFmtId="167" fontId="21" fillId="7" borderId="92" xfId="5" applyNumberFormat="1" applyFont="1" applyFill="1" applyBorder="1" applyAlignment="1">
      <alignment horizontal="center"/>
    </xf>
    <xf numFmtId="167" fontId="21" fillId="7" borderId="93" xfId="5" applyNumberFormat="1" applyFont="1" applyFill="1" applyBorder="1" applyAlignment="1">
      <alignment horizontal="center"/>
    </xf>
    <xf numFmtId="167" fontId="21" fillId="7" borderId="85" xfId="5" applyNumberFormat="1" applyFont="1" applyFill="1" applyBorder="1" applyAlignment="1">
      <alignment horizontal="center"/>
    </xf>
    <xf numFmtId="2" fontId="20" fillId="4" borderId="92" xfId="5" applyNumberFormat="1" applyFont="1" applyFill="1" applyBorder="1" applyAlignment="1">
      <alignment horizontal="center" vertical="center"/>
    </xf>
    <xf numFmtId="2" fontId="20" fillId="4" borderId="93" xfId="5" applyNumberFormat="1" applyFont="1" applyFill="1" applyBorder="1" applyAlignment="1">
      <alignment horizontal="center" vertical="center"/>
    </xf>
    <xf numFmtId="166" fontId="21" fillId="4" borderId="85" xfId="5" applyNumberFormat="1" applyFont="1" applyFill="1" applyBorder="1" applyAlignment="1">
      <alignment horizontal="center" vertical="center"/>
    </xf>
    <xf numFmtId="166" fontId="21" fillId="0" borderId="87" xfId="5" applyNumberFormat="1" applyFont="1" applyBorder="1" applyAlignment="1">
      <alignment horizontal="center" vertical="center"/>
    </xf>
    <xf numFmtId="166" fontId="21" fillId="0" borderId="53" xfId="5" applyNumberFormat="1" applyFont="1" applyBorder="1" applyAlignment="1">
      <alignment horizontal="center" vertical="center"/>
    </xf>
    <xf numFmtId="2" fontId="20" fillId="0" borderId="92" xfId="5" applyNumberFormat="1" applyFont="1" applyBorder="1" applyAlignment="1">
      <alignment horizontal="center" vertical="center"/>
    </xf>
    <xf numFmtId="2" fontId="20" fillId="0" borderId="93" xfId="5" applyNumberFormat="1" applyFont="1" applyBorder="1" applyAlignment="1">
      <alignment horizontal="center" vertical="center"/>
    </xf>
    <xf numFmtId="166" fontId="21" fillId="0" borderId="85" xfId="5" applyNumberFormat="1" applyFont="1" applyBorder="1" applyAlignment="1">
      <alignment horizontal="center" vertical="center"/>
    </xf>
    <xf numFmtId="39" fontId="35" fillId="0" borderId="0" xfId="5" applyNumberFormat="1" applyFont="1" applyAlignment="1">
      <alignment horizontal="center" vertical="center"/>
    </xf>
    <xf numFmtId="166" fontId="20" fillId="0" borderId="53" xfId="5" applyNumberFormat="1" applyFont="1" applyBorder="1" applyAlignment="1">
      <alignment horizontal="center" vertical="center"/>
    </xf>
    <xf numFmtId="166" fontId="20" fillId="0" borderId="60" xfId="5" applyNumberFormat="1" applyFont="1" applyBorder="1" applyAlignment="1">
      <alignment horizontal="center" vertical="center"/>
    </xf>
    <xf numFmtId="0" fontId="20" fillId="4" borderId="89" xfId="5" applyFont="1" applyFill="1" applyBorder="1" applyAlignment="1">
      <alignment horizontal="center" vertical="center"/>
    </xf>
    <xf numFmtId="166" fontId="20" fillId="4" borderId="89" xfId="5" applyNumberFormat="1" applyFont="1" applyFill="1" applyBorder="1" applyAlignment="1">
      <alignment horizontal="center" vertical="center"/>
    </xf>
    <xf numFmtId="166" fontId="20" fillId="4" borderId="94" xfId="5" applyNumberFormat="1" applyFont="1" applyFill="1" applyBorder="1" applyAlignment="1">
      <alignment horizontal="center" vertical="center"/>
    </xf>
    <xf numFmtId="0" fontId="21" fillId="4" borderId="95" xfId="5" applyFont="1" applyFill="1" applyBorder="1" applyAlignment="1">
      <alignment horizontal="center" vertical="center"/>
    </xf>
    <xf numFmtId="166" fontId="19" fillId="4" borderId="0" xfId="5" applyNumberFormat="1" applyFont="1" applyFill="1"/>
    <xf numFmtId="166" fontId="21" fillId="10" borderId="6" xfId="5" quotePrefix="1" applyNumberFormat="1" applyFont="1" applyFill="1" applyBorder="1" applyAlignment="1">
      <alignment horizontal="center"/>
    </xf>
    <xf numFmtId="166" fontId="21" fillId="10" borderId="6" xfId="5" applyNumberFormat="1" applyFont="1" applyFill="1" applyBorder="1" applyAlignment="1">
      <alignment horizontal="center"/>
    </xf>
    <xf numFmtId="166" fontId="38" fillId="10" borderId="56" xfId="5" applyNumberFormat="1" applyFont="1" applyFill="1" applyBorder="1" applyAlignment="1">
      <alignment horizontal="left"/>
    </xf>
    <xf numFmtId="166" fontId="38" fillId="10" borderId="55" xfId="5" applyNumberFormat="1" applyFont="1" applyFill="1" applyBorder="1"/>
    <xf numFmtId="166" fontId="38" fillId="10" borderId="55" xfId="5" applyNumberFormat="1" applyFont="1" applyFill="1" applyBorder="1" applyAlignment="1">
      <alignment horizontal="left"/>
    </xf>
    <xf numFmtId="166" fontId="38" fillId="10" borderId="8" xfId="5" applyNumberFormat="1" applyFont="1" applyFill="1" applyBorder="1"/>
    <xf numFmtId="166" fontId="21" fillId="10" borderId="10" xfId="5" applyNumberFormat="1" applyFont="1" applyFill="1" applyBorder="1"/>
    <xf numFmtId="166" fontId="21" fillId="10" borderId="10" xfId="5" applyNumberFormat="1" applyFont="1" applyFill="1" applyBorder="1" applyAlignment="1">
      <alignment horizontal="center"/>
    </xf>
    <xf numFmtId="167" fontId="38" fillId="10" borderId="92" xfId="5" applyNumberFormat="1" applyFont="1" applyFill="1" applyBorder="1" applyAlignment="1">
      <alignment horizontal="center"/>
    </xf>
    <xf numFmtId="167" fontId="38" fillId="10" borderId="93" xfId="5" applyNumberFormat="1" applyFont="1" applyFill="1" applyBorder="1" applyAlignment="1">
      <alignment horizontal="center"/>
    </xf>
    <xf numFmtId="167" fontId="38" fillId="10" borderId="96" xfId="5" applyNumberFormat="1" applyFont="1" applyFill="1" applyBorder="1" applyAlignment="1">
      <alignment horizontal="center"/>
    </xf>
    <xf numFmtId="166" fontId="21" fillId="4" borderId="97" xfId="5" applyNumberFormat="1" applyFont="1" applyFill="1" applyBorder="1" applyAlignment="1">
      <alignment horizontal="center" vertical="center"/>
    </xf>
    <xf numFmtId="166" fontId="21" fillId="4" borderId="92" xfId="5" applyNumberFormat="1" applyFont="1" applyFill="1" applyBorder="1" applyAlignment="1">
      <alignment horizontal="center" vertical="center"/>
    </xf>
    <xf numFmtId="166" fontId="20" fillId="4" borderId="92" xfId="5" applyNumberFormat="1" applyFont="1" applyFill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21" fillId="4" borderId="96" xfId="5" applyNumberFormat="1" applyFont="1" applyFill="1" applyBorder="1" applyAlignment="1">
      <alignment horizontal="center" vertical="center"/>
    </xf>
    <xf numFmtId="166" fontId="21" fillId="4" borderId="95" xfId="5" applyNumberFormat="1" applyFont="1" applyFill="1" applyBorder="1" applyAlignment="1">
      <alignment horizontal="center" vertical="center"/>
    </xf>
    <xf numFmtId="0" fontId="24" fillId="4" borderId="0" xfId="5" applyFont="1" applyFill="1" applyAlignment="1">
      <alignment horizontal="center" vertical="center"/>
    </xf>
    <xf numFmtId="0" fontId="24" fillId="4" borderId="0" xfId="5" applyFont="1" applyFill="1"/>
    <xf numFmtId="166" fontId="5" fillId="4" borderId="1" xfId="5" applyNumberFormat="1" applyFont="1" applyFill="1" applyBorder="1" applyAlignment="1">
      <alignment horizontal="center" vertical="center"/>
    </xf>
    <xf numFmtId="166" fontId="5" fillId="4" borderId="2" xfId="5" applyNumberFormat="1" applyFont="1" applyFill="1" applyBorder="1" applyAlignment="1">
      <alignment horizontal="center" vertical="center"/>
    </xf>
    <xf numFmtId="166" fontId="5" fillId="4" borderId="3" xfId="5" applyNumberFormat="1" applyFont="1" applyFill="1" applyBorder="1" applyAlignment="1">
      <alignment horizontal="center" vertical="center"/>
    </xf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 vertical="center" wrapText="1"/>
    </xf>
    <xf numFmtId="166" fontId="11" fillId="4" borderId="0" xfId="5" applyNumberFormat="1" applyFont="1" applyFill="1" applyAlignment="1">
      <alignment horizontal="center" vertical="center" wrapText="1"/>
    </xf>
    <xf numFmtId="0" fontId="3" fillId="4" borderId="0" xfId="5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5" fillId="11" borderId="0" xfId="5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21" fillId="8" borderId="98" xfId="5" applyNumberFormat="1" applyFont="1" applyFill="1" applyBorder="1" applyAlignment="1">
      <alignment horizontal="center"/>
    </xf>
    <xf numFmtId="166" fontId="21" fillId="8" borderId="52" xfId="5" applyNumberFormat="1" applyFont="1" applyFill="1" applyBorder="1" applyAlignment="1">
      <alignment horizontal="center" vertical="center"/>
    </xf>
    <xf numFmtId="167" fontId="21" fillId="7" borderId="99" xfId="5" applyNumberFormat="1" applyFont="1" applyFill="1" applyBorder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/>
    </xf>
    <xf numFmtId="166" fontId="21" fillId="4" borderId="52" xfId="5" applyNumberFormat="1" applyFont="1" applyFill="1" applyBorder="1" applyAlignment="1">
      <alignment horizontal="center" vertical="center"/>
    </xf>
    <xf numFmtId="2" fontId="21" fillId="4" borderId="54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 vertical="center"/>
    </xf>
    <xf numFmtId="2" fontId="21" fillId="4" borderId="100" xfId="5" applyNumberFormat="1" applyFont="1" applyFill="1" applyBorder="1" applyAlignment="1">
      <alignment horizontal="center" vertical="center"/>
    </xf>
    <xf numFmtId="166" fontId="21" fillId="4" borderId="60" xfId="5" applyNumberFormat="1" applyFont="1" applyFill="1" applyBorder="1" applyAlignment="1">
      <alignment horizontal="center" vertical="center"/>
    </xf>
    <xf numFmtId="2" fontId="21" fillId="4" borderId="99" xfId="5" applyNumberFormat="1" applyFont="1" applyFill="1" applyBorder="1" applyAlignment="1">
      <alignment horizontal="center" vertical="center"/>
    </xf>
    <xf numFmtId="166" fontId="21" fillId="0" borderId="92" xfId="5" applyNumberFormat="1" applyFont="1" applyBorder="1" applyAlignment="1">
      <alignment horizontal="center" vertical="center"/>
    </xf>
    <xf numFmtId="166" fontId="21" fillId="4" borderId="9" xfId="5" applyNumberFormat="1" applyFont="1" applyFill="1" applyBorder="1" applyAlignment="1">
      <alignment horizontal="center" vertical="center"/>
    </xf>
    <xf numFmtId="2" fontId="21" fillId="4" borderId="60" xfId="5" applyNumberFormat="1" applyFont="1" applyFill="1" applyBorder="1" applyAlignment="1">
      <alignment horizontal="center" vertical="center"/>
    </xf>
    <xf numFmtId="2" fontId="33" fillId="4" borderId="9" xfId="6" applyNumberFormat="1" applyFont="1" applyFill="1" applyBorder="1" applyAlignment="1">
      <alignment horizontal="center" vertical="center"/>
    </xf>
    <xf numFmtId="166" fontId="21" fillId="4" borderId="29" xfId="5" applyNumberFormat="1" applyFont="1" applyFill="1" applyBorder="1" applyAlignment="1">
      <alignment horizontal="center" vertical="center"/>
    </xf>
    <xf numFmtId="166" fontId="21" fillId="4" borderId="78" xfId="5" applyNumberFormat="1" applyFont="1" applyFill="1" applyBorder="1" applyAlignment="1">
      <alignment horizontal="center" vertical="center"/>
    </xf>
    <xf numFmtId="166" fontId="21" fillId="4" borderId="78" xfId="5" quotePrefix="1" applyNumberFormat="1" applyFont="1" applyFill="1" applyBorder="1" applyAlignment="1">
      <alignment horizontal="center" vertical="center"/>
    </xf>
    <xf numFmtId="2" fontId="21" fillId="4" borderId="101" xfId="3" applyNumberFormat="1" applyFont="1" applyFill="1" applyBorder="1" applyAlignment="1" applyProtection="1">
      <alignment horizontal="center" vertical="center" wrapText="1"/>
    </xf>
    <xf numFmtId="166" fontId="21" fillId="4" borderId="0" xfId="5" applyNumberFormat="1" applyFont="1" applyFill="1" applyAlignment="1">
      <alignment horizontal="center" vertical="center"/>
    </xf>
    <xf numFmtId="166" fontId="21" fillId="9" borderId="0" xfId="5" applyNumberFormat="1" applyFont="1" applyFill="1" applyAlignment="1">
      <alignment horizontal="center" vertical="center"/>
    </xf>
    <xf numFmtId="166" fontId="21" fillId="9" borderId="0" xfId="5" quotePrefix="1" applyNumberFormat="1" applyFont="1" applyFill="1" applyAlignment="1">
      <alignment horizontal="center" vertical="center"/>
    </xf>
    <xf numFmtId="0" fontId="21" fillId="4" borderId="0" xfId="3" applyNumberFormat="1" applyFont="1" applyFill="1" applyBorder="1" applyAlignment="1" applyProtection="1">
      <alignment horizontal="center" vertical="center" wrapText="1"/>
    </xf>
    <xf numFmtId="0" fontId="20" fillId="4" borderId="0" xfId="5" applyFont="1" applyFill="1" applyAlignment="1">
      <alignment vertical="center"/>
    </xf>
    <xf numFmtId="166" fontId="21" fillId="8" borderId="38" xfId="5" applyNumberFormat="1" applyFont="1" applyFill="1" applyBorder="1" applyAlignment="1">
      <alignment horizontal="center" vertical="center"/>
    </xf>
    <xf numFmtId="166" fontId="21" fillId="8" borderId="6" xfId="5" quotePrefix="1" applyNumberFormat="1" applyFont="1" applyFill="1" applyBorder="1" applyAlignment="1">
      <alignment horizontal="center" vertical="center"/>
    </xf>
    <xf numFmtId="166" fontId="21" fillId="8" borderId="6" xfId="5" applyNumberFormat="1" applyFont="1" applyFill="1" applyBorder="1" applyAlignment="1">
      <alignment horizontal="center" vertical="center"/>
    </xf>
    <xf numFmtId="166" fontId="21" fillId="8" borderId="98" xfId="5" applyNumberFormat="1" applyFont="1" applyFill="1" applyBorder="1" applyAlignment="1">
      <alignment horizontal="center" vertical="center"/>
    </xf>
    <xf numFmtId="166" fontId="35" fillId="9" borderId="0" xfId="5" applyNumberFormat="1" applyFont="1" applyFill="1" applyAlignment="1">
      <alignment vertical="center"/>
    </xf>
    <xf numFmtId="166" fontId="21" fillId="8" borderId="51" xfId="5" applyNumberFormat="1" applyFont="1" applyFill="1" applyBorder="1" applyAlignment="1">
      <alignment vertical="center"/>
    </xf>
    <xf numFmtId="166" fontId="21" fillId="8" borderId="52" xfId="5" applyNumberFormat="1" applyFont="1" applyFill="1" applyBorder="1" applyAlignment="1">
      <alignment vertical="center"/>
    </xf>
    <xf numFmtId="167" fontId="35" fillId="4" borderId="0" xfId="5" applyNumberFormat="1" applyFont="1" applyFill="1" applyAlignment="1">
      <alignment horizontal="center" vertical="center"/>
    </xf>
    <xf numFmtId="166" fontId="21" fillId="4" borderId="15" xfId="5" applyNumberFormat="1" applyFont="1" applyFill="1" applyBorder="1" applyAlignment="1">
      <alignment horizontal="center" vertical="center"/>
    </xf>
    <xf numFmtId="166" fontId="21" fillId="4" borderId="102" xfId="5" applyNumberFormat="1" applyFont="1" applyFill="1" applyBorder="1" applyAlignment="1">
      <alignment horizontal="center" vertical="center"/>
    </xf>
    <xf numFmtId="166" fontId="21" fillId="4" borderId="102" xfId="5" quotePrefix="1" applyNumberFormat="1" applyFont="1" applyFill="1" applyBorder="1" applyAlignment="1">
      <alignment horizontal="center" vertical="center"/>
    </xf>
    <xf numFmtId="2" fontId="21" fillId="4" borderId="103" xfId="3" applyNumberFormat="1" applyFont="1" applyFill="1" applyBorder="1" applyAlignment="1" applyProtection="1">
      <alignment horizontal="center" vertical="center" wrapText="1"/>
    </xf>
    <xf numFmtId="166" fontId="21" fillId="4" borderId="104" xfId="5" applyNumberFormat="1" applyFont="1" applyFill="1" applyBorder="1" applyAlignment="1">
      <alignment horizontal="center" vertical="center"/>
    </xf>
    <xf numFmtId="166" fontId="21" fillId="4" borderId="104" xfId="5" quotePrefix="1" applyNumberFormat="1" applyFont="1" applyFill="1" applyBorder="1" applyAlignment="1">
      <alignment horizontal="center" vertical="center"/>
    </xf>
    <xf numFmtId="2" fontId="21" fillId="4" borderId="105" xfId="3" applyNumberFormat="1" applyFont="1" applyFill="1" applyBorder="1" applyAlignment="1" applyProtection="1">
      <alignment horizontal="center" vertical="center" wrapText="1"/>
    </xf>
    <xf numFmtId="166" fontId="21" fillId="4" borderId="106" xfId="5" applyNumberFormat="1" applyFont="1" applyFill="1" applyBorder="1" applyAlignment="1">
      <alignment horizontal="center" vertical="center"/>
    </xf>
    <xf numFmtId="166" fontId="21" fillId="4" borderId="25" xfId="5" applyNumberFormat="1" applyFont="1" applyFill="1" applyBorder="1" applyAlignment="1">
      <alignment horizontal="center" vertical="center"/>
    </xf>
    <xf numFmtId="166" fontId="21" fillId="4" borderId="107" xfId="5" applyNumberFormat="1" applyFont="1" applyFill="1" applyBorder="1" applyAlignment="1">
      <alignment horizontal="center" vertical="center"/>
    </xf>
    <xf numFmtId="166" fontId="21" fillId="4" borderId="107" xfId="5" quotePrefix="1" applyNumberFormat="1" applyFont="1" applyFill="1" applyBorder="1" applyAlignment="1">
      <alignment horizontal="center" vertical="center"/>
    </xf>
    <xf numFmtId="2" fontId="21" fillId="4" borderId="108" xfId="3" applyNumberFormat="1" applyFont="1" applyFill="1" applyBorder="1" applyAlignment="1" applyProtection="1">
      <alignment horizontal="center" vertical="center" wrapText="1"/>
    </xf>
    <xf numFmtId="166" fontId="7" fillId="4" borderId="0" xfId="5" applyNumberFormat="1" applyFont="1" applyFill="1" applyAlignment="1">
      <alignment horizontal="center"/>
    </xf>
    <xf numFmtId="166" fontId="39" fillId="11" borderId="0" xfId="5" applyNumberFormat="1" applyFont="1" applyFill="1" applyAlignment="1">
      <alignment horizontal="center"/>
    </xf>
    <xf numFmtId="166" fontId="18" fillId="8" borderId="98" xfId="5" applyNumberFormat="1" applyFont="1" applyFill="1" applyBorder="1" applyAlignment="1">
      <alignment horizontal="center" vertical="center"/>
    </xf>
    <xf numFmtId="167" fontId="18" fillId="7" borderId="99" xfId="5" applyNumberFormat="1" applyFont="1" applyFill="1" applyBorder="1" applyAlignment="1">
      <alignment horizontal="center" vertical="center"/>
    </xf>
    <xf numFmtId="166" fontId="21" fillId="0" borderId="109" xfId="5" applyNumberFormat="1" applyFont="1" applyBorder="1" applyAlignment="1">
      <alignment horizontal="center" vertical="center"/>
    </xf>
    <xf numFmtId="166" fontId="21" fillId="0" borderId="88" xfId="5" applyNumberFormat="1" applyFont="1" applyBorder="1" applyAlignment="1">
      <alignment horizontal="center" vertical="center"/>
    </xf>
    <xf numFmtId="166" fontId="21" fillId="0" borderId="89" xfId="5" applyNumberFormat="1" applyFont="1" applyBorder="1" applyAlignment="1">
      <alignment horizontal="center" vertical="center"/>
    </xf>
    <xf numFmtId="0" fontId="21" fillId="4" borderId="110" xfId="3" applyNumberFormat="1" applyFont="1" applyFill="1" applyBorder="1" applyAlignment="1" applyProtection="1">
      <alignment horizontal="center" vertical="center" wrapText="1"/>
    </xf>
    <xf numFmtId="0" fontId="23" fillId="4" borderId="0" xfId="5" applyFont="1" applyFill="1" applyAlignment="1">
      <alignment horizontal="center"/>
    </xf>
    <xf numFmtId="0" fontId="3" fillId="4" borderId="0" xfId="5" applyFont="1" applyFill="1"/>
    <xf numFmtId="0" fontId="3" fillId="4" borderId="0" xfId="5" applyFont="1" applyFill="1" applyAlignment="1">
      <alignment vertical="center"/>
    </xf>
    <xf numFmtId="166" fontId="21" fillId="9" borderId="86" xfId="5" applyNumberFormat="1" applyFont="1" applyFill="1" applyBorder="1" applyAlignment="1">
      <alignment horizontal="center" vertical="center"/>
    </xf>
    <xf numFmtId="166" fontId="21" fillId="9" borderId="52" xfId="5" applyNumberFormat="1" applyFont="1" applyFill="1" applyBorder="1" applyAlignment="1">
      <alignment horizontal="center" vertical="center"/>
    </xf>
    <xf numFmtId="2" fontId="20" fillId="4" borderId="52" xfId="5" applyNumberFormat="1" applyFont="1" applyFill="1" applyBorder="1" applyAlignment="1">
      <alignment horizontal="center" vertical="center"/>
    </xf>
    <xf numFmtId="2" fontId="20" fillId="4" borderId="111" xfId="5" applyNumberFormat="1" applyFont="1" applyFill="1" applyBorder="1" applyAlignment="1">
      <alignment horizontal="center" vertical="center"/>
    </xf>
    <xf numFmtId="2" fontId="21" fillId="4" borderId="112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/>
    </xf>
    <xf numFmtId="166" fontId="21" fillId="9" borderId="51" xfId="5" applyNumberFormat="1" applyFont="1" applyFill="1" applyBorder="1" applyAlignment="1">
      <alignment horizontal="center" vertical="center"/>
    </xf>
    <xf numFmtId="166" fontId="21" fillId="9" borderId="37" xfId="5" applyNumberFormat="1" applyFont="1" applyFill="1" applyBorder="1" applyAlignment="1">
      <alignment horizontal="center" vertical="center"/>
    </xf>
    <xf numFmtId="166" fontId="21" fillId="9" borderId="53" xfId="5" applyNumberFormat="1" applyFont="1" applyFill="1" applyBorder="1" applyAlignment="1">
      <alignment horizontal="center" vertical="center"/>
    </xf>
    <xf numFmtId="2" fontId="20" fillId="4" borderId="60" xfId="5" applyNumberFormat="1" applyFont="1" applyFill="1" applyBorder="1" applyAlignment="1">
      <alignment horizontal="center" vertical="center"/>
    </xf>
    <xf numFmtId="2" fontId="21" fillId="4" borderId="85" xfId="5" applyNumberFormat="1" applyFont="1" applyFill="1" applyBorder="1" applyAlignment="1">
      <alignment horizontal="center" vertical="center"/>
    </xf>
    <xf numFmtId="166" fontId="21" fillId="9" borderId="58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top"/>
    </xf>
    <xf numFmtId="2" fontId="20" fillId="0" borderId="53" xfId="5" applyNumberFormat="1" applyFont="1" applyBorder="1" applyAlignment="1">
      <alignment horizontal="center" vertical="center"/>
    </xf>
    <xf numFmtId="2" fontId="20" fillId="0" borderId="60" xfId="5" applyNumberFormat="1" applyFont="1" applyBorder="1" applyAlignment="1">
      <alignment horizontal="center" vertical="center"/>
    </xf>
    <xf numFmtId="2" fontId="21" fillId="0" borderId="85" xfId="5" applyNumberFormat="1" applyFont="1" applyBorder="1" applyAlignment="1">
      <alignment horizontal="center" vertical="center"/>
    </xf>
    <xf numFmtId="0" fontId="34" fillId="4" borderId="0" xfId="5" applyFont="1" applyFill="1" applyAlignment="1">
      <alignment vertical="top"/>
    </xf>
    <xf numFmtId="2" fontId="33" fillId="4" borderId="0" xfId="6" applyNumberFormat="1" applyFont="1" applyFill="1" applyAlignment="1">
      <alignment horizontal="center" vertical="top"/>
    </xf>
    <xf numFmtId="2" fontId="20" fillId="0" borderId="53" xfId="5" quotePrefix="1" applyNumberFormat="1" applyFont="1" applyBorder="1" applyAlignment="1">
      <alignment horizontal="center" vertical="center"/>
    </xf>
    <xf numFmtId="2" fontId="20" fillId="0" borderId="60" xfId="5" quotePrefix="1" applyNumberFormat="1" applyFont="1" applyBorder="1" applyAlignment="1">
      <alignment horizontal="center" vertical="center"/>
    </xf>
    <xf numFmtId="166" fontId="21" fillId="9" borderId="87" xfId="5" applyNumberFormat="1" applyFont="1" applyFill="1" applyBorder="1" applyAlignment="1">
      <alignment horizontal="center" vertical="center"/>
    </xf>
    <xf numFmtId="166" fontId="21" fillId="0" borderId="86" xfId="5" applyNumberFormat="1" applyFont="1" applyBorder="1" applyAlignment="1">
      <alignment horizontal="center" vertical="center"/>
    </xf>
    <xf numFmtId="0" fontId="23" fillId="0" borderId="0" xfId="5" applyFont="1" applyAlignment="1">
      <alignment horizontal="center" vertical="top"/>
    </xf>
    <xf numFmtId="0" fontId="34" fillId="0" borderId="51" xfId="5" applyFont="1" applyBorder="1" applyAlignment="1">
      <alignment vertical="top"/>
    </xf>
    <xf numFmtId="0" fontId="34" fillId="0" borderId="0" xfId="5" applyFont="1" applyAlignment="1">
      <alignment vertical="top"/>
    </xf>
    <xf numFmtId="2" fontId="33" fillId="0" borderId="0" xfId="6" applyNumberFormat="1" applyFont="1" applyAlignment="1">
      <alignment horizontal="center" vertical="top"/>
    </xf>
    <xf numFmtId="0" fontId="23" fillId="0" borderId="0" xfId="5" applyFont="1" applyAlignment="1">
      <alignment horizontal="center"/>
    </xf>
    <xf numFmtId="0" fontId="34" fillId="0" borderId="0" xfId="5" applyFont="1"/>
    <xf numFmtId="2" fontId="33" fillId="0" borderId="0" xfId="6" applyNumberFormat="1" applyFont="1" applyAlignment="1">
      <alignment horizontal="center"/>
    </xf>
    <xf numFmtId="166" fontId="21" fillId="0" borderId="37" xfId="5" applyNumberFormat="1" applyFont="1" applyBorder="1" applyAlignment="1">
      <alignment horizontal="center" vertical="center"/>
    </xf>
    <xf numFmtId="2" fontId="20" fillId="4" borderId="60" xfId="5" quotePrefix="1" applyNumberFormat="1" applyFont="1" applyFill="1" applyBorder="1" applyAlignment="1">
      <alignment horizontal="center" vertical="center"/>
    </xf>
    <xf numFmtId="2" fontId="21" fillId="0" borderId="96" xfId="5" applyNumberFormat="1" applyFont="1" applyBorder="1" applyAlignment="1">
      <alignment horizontal="center" vertical="center"/>
    </xf>
    <xf numFmtId="2" fontId="21" fillId="4" borderId="89" xfId="5" applyNumberFormat="1" applyFont="1" applyFill="1" applyBorder="1" applyAlignment="1">
      <alignment horizontal="center" vertical="center"/>
    </xf>
    <xf numFmtId="2" fontId="20" fillId="4" borderId="90" xfId="5" applyNumberFormat="1" applyFont="1" applyFill="1" applyBorder="1" applyAlignment="1">
      <alignment horizontal="center" vertical="center"/>
    </xf>
    <xf numFmtId="2" fontId="21" fillId="4" borderId="95" xfId="5" applyNumberFormat="1" applyFont="1" applyFill="1" applyBorder="1" applyAlignment="1">
      <alignment horizontal="center" vertical="center"/>
    </xf>
    <xf numFmtId="0" fontId="12" fillId="4" borderId="0" xfId="5" applyFont="1" applyFill="1"/>
    <xf numFmtId="0" fontId="3" fillId="4" borderId="0" xfId="5" applyFont="1" applyFill="1" applyAlignment="1">
      <alignment horizontal="center" vertical="center"/>
    </xf>
    <xf numFmtId="166" fontId="11" fillId="4" borderId="0" xfId="5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5" fillId="12" borderId="0" xfId="5" applyNumberFormat="1" applyFont="1" applyFill="1"/>
    <xf numFmtId="167" fontId="35" fillId="11" borderId="0" xfId="5" applyNumberFormat="1" applyFont="1" applyFill="1" applyAlignment="1">
      <alignment horizontal="center"/>
    </xf>
    <xf numFmtId="0" fontId="21" fillId="4" borderId="54" xfId="5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/>
    </xf>
    <xf numFmtId="2" fontId="40" fillId="0" borderId="0" xfId="6" applyNumberFormat="1" applyFont="1" applyAlignment="1">
      <alignment horizontal="center"/>
    </xf>
    <xf numFmtId="0" fontId="3" fillId="4" borderId="0" xfId="5" applyFont="1" applyFill="1" applyAlignment="1">
      <alignment horizontal="center" vertical="top"/>
    </xf>
    <xf numFmtId="166" fontId="21" fillId="4" borderId="51" xfId="5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top"/>
    </xf>
    <xf numFmtId="2" fontId="40" fillId="0" borderId="0" xfId="6" applyNumberFormat="1" applyFont="1" applyAlignment="1">
      <alignment horizontal="center" vertical="top"/>
    </xf>
    <xf numFmtId="2" fontId="40" fillId="0" borderId="0" xfId="6" applyNumberFormat="1" applyFont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 wrapText="1"/>
    </xf>
    <xf numFmtId="0" fontId="21" fillId="0" borderId="54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166" fontId="21" fillId="0" borderId="58" xfId="5" applyNumberFormat="1" applyFont="1" applyBorder="1" applyAlignment="1">
      <alignment horizontal="center" vertical="center"/>
    </xf>
    <xf numFmtId="0" fontId="34" fillId="0" borderId="0" xfId="5" applyFont="1" applyAlignment="1">
      <alignment vertical="center"/>
    </xf>
    <xf numFmtId="0" fontId="3" fillId="0" borderId="0" xfId="5" applyFont="1" applyAlignment="1">
      <alignment horizontal="center"/>
    </xf>
    <xf numFmtId="2" fontId="21" fillId="0" borderId="54" xfId="5" applyNumberFormat="1" applyFont="1" applyBorder="1" applyAlignment="1">
      <alignment horizontal="center" vertical="center"/>
    </xf>
    <xf numFmtId="39" fontId="35" fillId="0" borderId="0" xfId="5" applyNumberFormat="1" applyFont="1" applyAlignment="1">
      <alignment horizontal="center"/>
    </xf>
    <xf numFmtId="166" fontId="21" fillId="0" borderId="51" xfId="5" applyNumberFormat="1" applyFont="1" applyBorder="1" applyAlignment="1">
      <alignment horizontal="center" vertical="center"/>
    </xf>
    <xf numFmtId="166" fontId="21" fillId="4" borderId="109" xfId="5" applyNumberFormat="1" applyFont="1" applyFill="1" applyBorder="1" applyAlignment="1">
      <alignment horizontal="center" vertical="center"/>
    </xf>
    <xf numFmtId="0" fontId="21" fillId="4" borderId="90" xfId="5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0" fontId="6" fillId="0" borderId="0" xfId="2" applyFont="1" applyAlignment="1">
      <alignment horizontal="left" vertical="top" wrapText="1"/>
    </xf>
    <xf numFmtId="0" fontId="6" fillId="0" borderId="29" xfId="2" applyFont="1" applyBorder="1" applyAlignment="1">
      <alignment horizontal="left" vertical="top" wrapText="1"/>
    </xf>
    <xf numFmtId="166" fontId="5" fillId="4" borderId="0" xfId="5" applyNumberFormat="1" applyFont="1" applyFill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2" fillId="0" borderId="29" xfId="3" applyNumberFormat="1" applyFont="1" applyFill="1" applyBorder="1" applyAlignment="1"/>
    <xf numFmtId="0" fontId="21" fillId="7" borderId="4" xfId="3" applyNumberFormat="1" applyFont="1" applyFill="1" applyBorder="1" applyAlignment="1"/>
    <xf numFmtId="0" fontId="21" fillId="7" borderId="19" xfId="3" applyNumberFormat="1" applyFont="1" applyFill="1" applyBorder="1" applyAlignment="1"/>
    <xf numFmtId="0" fontId="21" fillId="7" borderId="5" xfId="3" applyNumberFormat="1" applyFont="1" applyFill="1" applyBorder="1" applyAlignment="1"/>
    <xf numFmtId="0" fontId="21" fillId="7" borderId="34" xfId="3" applyNumberFormat="1" applyFont="1" applyFill="1" applyBorder="1" applyAlignment="1"/>
    <xf numFmtId="0" fontId="21" fillId="7" borderId="6" xfId="3" applyNumberFormat="1" applyFont="1" applyFill="1" applyBorder="1" applyAlignment="1">
      <alignment horizontal="center" vertical="center" wrapText="1"/>
    </xf>
    <xf numFmtId="0" fontId="21" fillId="7" borderId="8" xfId="3" applyNumberFormat="1" applyFont="1" applyFill="1" applyBorder="1" applyAlignment="1">
      <alignment horizontal="center"/>
    </xf>
    <xf numFmtId="0" fontId="21" fillId="7" borderId="9" xfId="3" applyNumberFormat="1" applyFont="1" applyFill="1" applyBorder="1" applyAlignment="1"/>
    <xf numFmtId="0" fontId="21" fillId="7" borderId="22" xfId="3" applyNumberFormat="1" applyFont="1" applyFill="1" applyBorder="1" applyAlignment="1"/>
    <xf numFmtId="0" fontId="21" fillId="7" borderId="0" xfId="3" applyNumberFormat="1" applyFont="1" applyFill="1" applyBorder="1" applyAlignment="1"/>
    <xf numFmtId="0" fontId="21" fillId="7" borderId="35" xfId="3" applyNumberFormat="1" applyFont="1" applyFill="1" applyBorder="1" applyAlignment="1"/>
    <xf numFmtId="0" fontId="21" fillId="7" borderId="10" xfId="3" applyNumberFormat="1" applyFont="1" applyFill="1" applyBorder="1" applyAlignment="1">
      <alignment horizontal="center" vertical="center" wrapText="1"/>
    </xf>
    <xf numFmtId="0" fontId="21" fillId="7" borderId="12" xfId="3" applyNumberFormat="1" applyFont="1" applyFill="1" applyBorder="1" applyAlignment="1">
      <alignment horizontal="center"/>
    </xf>
    <xf numFmtId="0" fontId="21" fillId="7" borderId="28" xfId="3" applyNumberFormat="1" applyFont="1" applyFill="1" applyBorder="1" applyAlignment="1"/>
    <xf numFmtId="0" fontId="21" fillId="7" borderId="20" xfId="3" applyNumberFormat="1" applyFont="1" applyFill="1" applyBorder="1" applyAlignment="1"/>
    <xf numFmtId="0" fontId="21" fillId="7" borderId="29" xfId="3" applyNumberFormat="1" applyFont="1" applyFill="1" applyBorder="1" applyAlignment="1"/>
    <xf numFmtId="0" fontId="21" fillId="7" borderId="36" xfId="3" applyNumberFormat="1" applyFont="1" applyFill="1" applyBorder="1" applyAlignment="1"/>
    <xf numFmtId="0" fontId="21" fillId="7" borderId="40" xfId="3" applyNumberFormat="1" applyFont="1" applyFill="1" applyBorder="1" applyAlignment="1">
      <alignment horizontal="center" vertical="center" wrapText="1"/>
    </xf>
    <xf numFmtId="0" fontId="21" fillId="7" borderId="14" xfId="3" applyNumberFormat="1" applyFont="1" applyFill="1" applyBorder="1" applyAlignment="1">
      <alignment horizontal="center"/>
    </xf>
    <xf numFmtId="0" fontId="21" fillId="0" borderId="9" xfId="3" applyNumberFormat="1" applyFont="1" applyFill="1" applyBorder="1" applyAlignment="1">
      <alignment horizontal="center" wrapText="1"/>
    </xf>
    <xf numFmtId="0" fontId="21" fillId="0" borderId="56" xfId="3" applyNumberFormat="1" applyFont="1" applyFill="1" applyBorder="1" applyAlignment="1"/>
    <xf numFmtId="0" fontId="20" fillId="0" borderId="55" xfId="3" applyNumberFormat="1" applyFont="1" applyFill="1" applyBorder="1" applyAlignment="1"/>
    <xf numFmtId="0" fontId="20" fillId="0" borderId="113" xfId="3" applyNumberFormat="1" applyFont="1" applyFill="1" applyBorder="1" applyAlignment="1"/>
    <xf numFmtId="4" fontId="18" fillId="4" borderId="114" xfId="7" applyNumberFormat="1" applyFont="1" applyFill="1" applyBorder="1" applyAlignment="1">
      <alignment horizontal="center" vertical="top" wrapText="1"/>
    </xf>
    <xf numFmtId="4" fontId="18" fillId="4" borderId="57" xfId="0" applyNumberFormat="1" applyFont="1" applyFill="1" applyBorder="1" applyAlignment="1">
      <alignment horizontal="center" vertical="top" wrapText="1"/>
    </xf>
    <xf numFmtId="49" fontId="2" fillId="0" borderId="0" xfId="3" applyNumberFormat="1" applyFont="1" applyFill="1" applyBorder="1" applyAlignment="1"/>
    <xf numFmtId="0" fontId="20" fillId="0" borderId="22" xfId="3" applyNumberFormat="1" applyFont="1" applyFill="1" applyBorder="1" applyAlignment="1"/>
    <xf numFmtId="0" fontId="20" fillId="0" borderId="35" xfId="3" applyNumberFormat="1" applyFont="1" applyFill="1" applyBorder="1" applyAlignment="1"/>
    <xf numFmtId="4" fontId="29" fillId="4" borderId="11" xfId="7" applyNumberFormat="1" applyFont="1" applyFill="1" applyBorder="1" applyAlignment="1">
      <alignment horizontal="center" vertical="top" wrapText="1"/>
    </xf>
    <xf numFmtId="4" fontId="29" fillId="4" borderId="12" xfId="0" applyNumberFormat="1" applyFont="1" applyFill="1" applyBorder="1" applyAlignment="1">
      <alignment horizontal="center" vertical="top" wrapText="1"/>
    </xf>
    <xf numFmtId="0" fontId="20" fillId="0" borderId="111" xfId="3" applyNumberFormat="1" applyFont="1" applyFill="1" applyBorder="1" applyAlignment="1"/>
    <xf numFmtId="0" fontId="20" fillId="0" borderId="115" xfId="3" applyNumberFormat="1" applyFont="1" applyFill="1" applyBorder="1" applyAlignment="1"/>
    <xf numFmtId="0" fontId="20" fillId="0" borderId="116" xfId="3" applyNumberFormat="1" applyFont="1" applyFill="1" applyBorder="1" applyAlignment="1"/>
    <xf numFmtId="0" fontId="21" fillId="0" borderId="111" xfId="3" applyNumberFormat="1" applyFont="1" applyFill="1" applyBorder="1" applyAlignment="1"/>
    <xf numFmtId="4" fontId="18" fillId="4" borderId="117" xfId="7" applyNumberFormat="1" applyFont="1" applyFill="1" applyBorder="1" applyAlignment="1">
      <alignment horizontal="center" vertical="top" wrapText="1"/>
    </xf>
    <xf numFmtId="4" fontId="18" fillId="4" borderId="61" xfId="0" applyNumberFormat="1" applyFont="1" applyFill="1" applyBorder="1" applyAlignment="1">
      <alignment horizontal="center" vertical="top" wrapText="1"/>
    </xf>
    <xf numFmtId="4" fontId="18" fillId="4" borderId="118" xfId="7" applyNumberFormat="1" applyFont="1" applyFill="1" applyBorder="1" applyAlignment="1">
      <alignment horizontal="center" vertical="top" wrapText="1"/>
    </xf>
    <xf numFmtId="4" fontId="18" fillId="4" borderId="119" xfId="0" applyNumberFormat="1" applyFont="1" applyFill="1" applyBorder="1" applyAlignment="1">
      <alignment horizontal="center" vertical="top" wrapText="1"/>
    </xf>
    <xf numFmtId="0" fontId="21" fillId="0" borderId="9" xfId="3" applyNumberFormat="1" applyFont="1" applyFill="1" applyBorder="1" applyAlignment="1"/>
    <xf numFmtId="0" fontId="21" fillId="0" borderId="4" xfId="3" applyNumberFormat="1" applyFont="1" applyFill="1" applyBorder="1" applyAlignment="1">
      <alignment horizontal="center" wrapText="1"/>
    </xf>
    <xf numFmtId="4" fontId="18" fillId="4" borderId="120" xfId="7" applyNumberFormat="1" applyFont="1" applyFill="1" applyBorder="1" applyAlignment="1">
      <alignment horizontal="center" vertical="top" wrapText="1"/>
    </xf>
    <xf numFmtId="4" fontId="18" fillId="4" borderId="121" xfId="0" applyNumberFormat="1" applyFont="1" applyFill="1" applyBorder="1" applyAlignment="1">
      <alignment horizontal="center" vertical="top" wrapText="1"/>
    </xf>
    <xf numFmtId="0" fontId="20" fillId="0" borderId="46" xfId="3" applyNumberFormat="1" applyFont="1" applyFill="1" applyBorder="1" applyAlignment="1"/>
    <xf numFmtId="0" fontId="20" fillId="0" borderId="9" xfId="3" applyNumberFormat="1" applyFont="1" applyFill="1" applyBorder="1" applyAlignment="1"/>
    <xf numFmtId="0" fontId="20" fillId="0" borderId="99" xfId="3" applyNumberFormat="1" applyFont="1" applyFill="1" applyBorder="1" applyAlignment="1"/>
    <xf numFmtId="0" fontId="20" fillId="0" borderId="122" xfId="3" applyNumberFormat="1" applyFont="1" applyFill="1" applyBorder="1" applyAlignment="1"/>
    <xf numFmtId="0" fontId="20" fillId="0" borderId="75" xfId="3" applyNumberFormat="1" applyFont="1" applyFill="1" applyBorder="1" applyAlignment="1"/>
    <xf numFmtId="0" fontId="20" fillId="0" borderId="37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0" fillId="0" borderId="20" xfId="3" applyNumberFormat="1" applyFont="1" applyFill="1" applyBorder="1" applyAlignment="1"/>
    <xf numFmtId="0" fontId="20" fillId="0" borderId="29" xfId="3" applyNumberFormat="1" applyFont="1" applyFill="1" applyBorder="1" applyAlignment="1"/>
    <xf numFmtId="0" fontId="20" fillId="0" borderId="36" xfId="3" applyNumberFormat="1" applyFont="1" applyFill="1" applyBorder="1" applyAlignment="1"/>
    <xf numFmtId="4" fontId="29" fillId="4" borderId="13" xfId="7" applyNumberFormat="1" applyFont="1" applyFill="1" applyBorder="1" applyAlignment="1">
      <alignment horizontal="center" vertical="top" wrapText="1"/>
    </xf>
    <xf numFmtId="4" fontId="29" fillId="4" borderId="14" xfId="0" applyNumberFormat="1" applyFont="1" applyFill="1" applyBorder="1" applyAlignment="1">
      <alignment horizontal="center" vertical="top" wrapText="1"/>
    </xf>
    <xf numFmtId="0" fontId="41" fillId="0" borderId="0" xfId="3" applyNumberFormat="1" applyFont="1" applyFill="1" applyBorder="1" applyAlignment="1"/>
    <xf numFmtId="0" fontId="20" fillId="4" borderId="0" xfId="3" applyNumberFormat="1" applyFont="1" applyFill="1" applyBorder="1" applyAlignment="1" applyProtection="1">
      <alignment horizontal="left" vertical="top" wrapText="1"/>
      <protection locked="0"/>
    </xf>
    <xf numFmtId="0" fontId="9" fillId="4" borderId="0" xfId="3" applyNumberFormat="1" applyFont="1" applyFill="1" applyBorder="1" applyAlignment="1" applyProtection="1">
      <alignment horizontal="center" vertical="center"/>
    </xf>
    <xf numFmtId="0" fontId="21" fillId="7" borderId="123" xfId="3" applyFont="1" applyFill="1" applyBorder="1" applyAlignment="1">
      <alignment vertical="center"/>
    </xf>
    <xf numFmtId="0" fontId="21" fillId="7" borderId="124" xfId="3" applyFont="1" applyFill="1" applyBorder="1" applyAlignment="1">
      <alignment horizontal="center" vertical="center" wrapText="1"/>
    </xf>
    <xf numFmtId="0" fontId="21" fillId="7" borderId="125" xfId="3" applyFont="1" applyFill="1" applyBorder="1" applyAlignment="1">
      <alignment horizontal="center" vertical="center"/>
    </xf>
    <xf numFmtId="0" fontId="20" fillId="4" borderId="126" xfId="3" applyFont="1" applyFill="1" applyBorder="1" applyAlignment="1">
      <alignment vertical="top"/>
    </xf>
    <xf numFmtId="4" fontId="29" fillId="4" borderId="127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top"/>
    </xf>
    <xf numFmtId="0" fontId="20" fillId="4" borderId="9" xfId="3" applyFont="1" applyFill="1" applyBorder="1" applyAlignment="1">
      <alignment vertical="top"/>
    </xf>
    <xf numFmtId="4" fontId="29" fillId="4" borderId="128" xfId="0" applyNumberFormat="1" applyFont="1" applyFill="1" applyBorder="1" applyAlignment="1">
      <alignment horizontal="center" vertical="top" wrapText="1"/>
    </xf>
    <xf numFmtId="0" fontId="20" fillId="4" borderId="28" xfId="3" applyFont="1" applyFill="1" applyBorder="1" applyAlignment="1">
      <alignment vertical="top"/>
    </xf>
    <xf numFmtId="4" fontId="29" fillId="4" borderId="129" xfId="0" applyNumberFormat="1" applyFont="1" applyFill="1" applyBorder="1" applyAlignment="1">
      <alignment horizontal="center" vertical="top" wrapText="1"/>
    </xf>
    <xf numFmtId="4" fontId="21" fillId="4" borderId="14" xfId="3" applyNumberFormat="1" applyFont="1" applyFill="1" applyBorder="1" applyAlignment="1" applyProtection="1">
      <alignment horizontal="center" vertical="top"/>
    </xf>
    <xf numFmtId="0" fontId="20" fillId="4" borderId="0" xfId="3" applyFont="1" applyFill="1" applyBorder="1" applyAlignment="1">
      <alignment vertical="top"/>
    </xf>
    <xf numFmtId="2" fontId="20" fillId="4" borderId="0" xfId="3" applyNumberFormat="1" applyFont="1" applyFill="1" applyBorder="1" applyAlignment="1">
      <alignment horizontal="center" vertical="top"/>
    </xf>
    <xf numFmtId="2" fontId="21" fillId="4" borderId="0" xfId="3" applyNumberFormat="1" applyFont="1" applyFill="1" applyBorder="1" applyAlignment="1" applyProtection="1">
      <alignment horizontal="center" vertical="top"/>
    </xf>
    <xf numFmtId="166" fontId="5" fillId="4" borderId="0" xfId="5" applyNumberFormat="1" applyFont="1" applyFill="1" applyAlignment="1">
      <alignment horizontal="center" vertical="center"/>
    </xf>
    <xf numFmtId="4" fontId="29" fillId="4" borderId="0" xfId="0" applyNumberFormat="1" applyFont="1" applyFill="1" applyAlignment="1">
      <alignment horizontal="center" vertical="top" wrapText="1"/>
    </xf>
    <xf numFmtId="0" fontId="21" fillId="7" borderId="130" xfId="3" applyFont="1" applyFill="1" applyBorder="1" applyAlignment="1">
      <alignment vertical="center"/>
    </xf>
    <xf numFmtId="0" fontId="21" fillId="7" borderId="57" xfId="3" applyFont="1" applyFill="1" applyBorder="1" applyAlignment="1">
      <alignment horizontal="center" vertical="center"/>
    </xf>
    <xf numFmtId="0" fontId="20" fillId="0" borderId="9" xfId="3" applyNumberFormat="1" applyFont="1" applyFill="1" applyBorder="1" applyAlignment="1" applyProtection="1">
      <alignment horizontal="left" vertical="top"/>
      <protection locked="0"/>
    </xf>
    <xf numFmtId="4" fontId="20" fillId="4" borderId="10" xfId="3" applyNumberFormat="1" applyFont="1" applyFill="1" applyBorder="1" applyAlignment="1" applyProtection="1">
      <alignment horizontal="center" vertical="center"/>
      <protection locked="0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4" fontId="29" fillId="4" borderId="16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center"/>
    </xf>
    <xf numFmtId="0" fontId="42" fillId="0" borderId="131" xfId="3" applyFont="1" applyFill="1" applyBorder="1" applyAlignment="1">
      <alignment vertical="top"/>
    </xf>
    <xf numFmtId="4" fontId="18" fillId="4" borderId="118" xfId="0" applyNumberFormat="1" applyFont="1" applyFill="1" applyBorder="1" applyAlignment="1">
      <alignment horizontal="center" vertical="top" wrapText="1"/>
    </xf>
    <xf numFmtId="4" fontId="21" fillId="4" borderId="61" xfId="3" applyNumberFormat="1" applyFont="1" applyFill="1" applyBorder="1" applyAlignment="1" applyProtection="1">
      <alignment horizontal="center" vertical="center"/>
    </xf>
    <xf numFmtId="4" fontId="30" fillId="4" borderId="16" xfId="0" applyNumberFormat="1" applyFont="1" applyFill="1" applyBorder="1" applyAlignment="1">
      <alignment horizontal="left" vertical="top" wrapText="1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0" fontId="42" fillId="4" borderId="132" xfId="3" applyFont="1" applyFill="1" applyBorder="1" applyAlignment="1">
      <alignment vertical="top"/>
    </xf>
    <xf numFmtId="4" fontId="18" fillId="4" borderId="133" xfId="0" applyNumberFormat="1" applyFont="1" applyFill="1" applyBorder="1" applyAlignment="1">
      <alignment horizontal="center" vertical="top" wrapText="1"/>
    </xf>
    <xf numFmtId="4" fontId="21" fillId="4" borderId="91" xfId="3" applyNumberFormat="1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>
      <alignment vertical="top"/>
    </xf>
    <xf numFmtId="0" fontId="43" fillId="4" borderId="0" xfId="3" applyFont="1" applyFill="1" applyBorder="1" applyAlignment="1">
      <alignment horizontal="center" vertical="center"/>
    </xf>
    <xf numFmtId="0" fontId="43" fillId="4" borderId="0" xfId="3" applyNumberFormat="1" applyFont="1" applyFill="1" applyBorder="1" applyAlignment="1" applyProtection="1">
      <alignment horizontal="center" vertical="center"/>
    </xf>
    <xf numFmtId="0" fontId="21" fillId="7" borderId="49" xfId="3" applyFont="1" applyFill="1" applyBorder="1" applyAlignment="1">
      <alignment horizontal="center" vertical="center" wrapText="1"/>
    </xf>
    <xf numFmtId="4" fontId="29" fillId="4" borderId="10" xfId="0" applyNumberFormat="1" applyFont="1" applyFill="1" applyBorder="1" applyAlignment="1">
      <alignment horizontal="center" vertical="top" wrapText="1"/>
    </xf>
    <xf numFmtId="4" fontId="18" fillId="4" borderId="12" xfId="0" applyNumberFormat="1" applyFont="1" applyFill="1" applyBorder="1" applyAlignment="1">
      <alignment horizontal="center" vertical="top" wrapText="1"/>
    </xf>
    <xf numFmtId="4" fontId="29" fillId="4" borderId="40" xfId="0" applyNumberFormat="1" applyFont="1" applyFill="1" applyBorder="1" applyAlignment="1">
      <alignment horizontal="center" vertical="top" wrapText="1"/>
    </xf>
    <xf numFmtId="4" fontId="18" fillId="4" borderId="14" xfId="0" applyNumberFormat="1" applyFont="1" applyFill="1" applyBorder="1" applyAlignment="1">
      <alignment horizontal="center" vertical="top" wrapText="1"/>
    </xf>
    <xf numFmtId="0" fontId="44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5" fillId="4" borderId="0" xfId="3" applyNumberFormat="1" applyFont="1" applyFill="1" applyBorder="1" applyAlignment="1" applyProtection="1">
      <alignment horizontal="right" vertical="top" wrapText="1"/>
    </xf>
    <xf numFmtId="0" fontId="44" fillId="0" borderId="0" xfId="3" applyNumberFormat="1" applyFont="1" applyFill="1" applyBorder="1" applyAlignment="1"/>
    <xf numFmtId="0" fontId="5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5" fillId="4" borderId="0" xfId="3" applyNumberFormat="1" applyFont="1" applyFill="1" applyBorder="1" applyAlignment="1" applyProtection="1">
      <alignment horizontal="right" vertical="top" wrapText="1"/>
    </xf>
    <xf numFmtId="0" fontId="44" fillId="0" borderId="0" xfId="3" applyNumberFormat="1" applyFont="1" applyFill="1" applyBorder="1" applyAlignment="1"/>
    <xf numFmtId="0" fontId="44" fillId="4" borderId="0" xfId="3" applyNumberFormat="1" applyFont="1" applyFill="1" applyBorder="1" applyAlignment="1" applyProtection="1">
      <alignment horizontal="left" vertical="top"/>
      <protection locked="0"/>
    </xf>
    <xf numFmtId="0" fontId="9" fillId="4" borderId="0" xfId="3" applyNumberFormat="1" applyFont="1" applyFill="1" applyBorder="1" applyAlignment="1" applyProtection="1">
      <alignment horizontal="center" vertical="top"/>
    </xf>
    <xf numFmtId="0" fontId="21" fillId="7" borderId="134" xfId="3" applyFont="1" applyFill="1" applyBorder="1" applyAlignment="1">
      <alignment horizontal="center" vertical="center" wrapText="1"/>
    </xf>
    <xf numFmtId="0" fontId="21" fillId="7" borderId="135" xfId="3" applyFont="1" applyFill="1" applyBorder="1" applyAlignment="1">
      <alignment horizontal="center" vertical="center" wrapText="1"/>
    </xf>
    <xf numFmtId="0" fontId="21" fillId="7" borderId="55" xfId="3" applyFont="1" applyFill="1" applyBorder="1" applyAlignment="1">
      <alignment horizontal="center" vertical="center" wrapText="1"/>
    </xf>
    <xf numFmtId="0" fontId="21" fillId="7" borderId="114" xfId="3" applyFont="1" applyFill="1" applyBorder="1" applyAlignment="1">
      <alignment horizontal="center" vertical="center" wrapText="1"/>
    </xf>
    <xf numFmtId="0" fontId="21" fillId="7" borderId="57" xfId="3" applyFont="1" applyFill="1" applyBorder="1" applyAlignment="1">
      <alignment horizontal="center" vertical="center" wrapText="1"/>
    </xf>
    <xf numFmtId="0" fontId="21" fillId="7" borderId="136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/>
    </xf>
    <xf numFmtId="0" fontId="21" fillId="7" borderId="103" xfId="3" applyFont="1" applyFill="1" applyBorder="1" applyAlignment="1">
      <alignment horizontal="center" vertical="center"/>
    </xf>
    <xf numFmtId="0" fontId="21" fillId="4" borderId="138" xfId="3" applyFont="1" applyFill="1" applyBorder="1" applyAlignment="1">
      <alignment horizontal="center" vertical="center" wrapText="1"/>
    </xf>
    <xf numFmtId="2" fontId="20" fillId="4" borderId="139" xfId="3" applyNumberFormat="1" applyFont="1" applyFill="1" applyBorder="1" applyAlignment="1">
      <alignment horizontal="center" vertical="center" wrapText="1"/>
    </xf>
    <xf numFmtId="2" fontId="21" fillId="4" borderId="139" xfId="3" applyNumberFormat="1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/>
    </xf>
    <xf numFmtId="0" fontId="21" fillId="7" borderId="45" xfId="3" applyFont="1" applyFill="1" applyBorder="1" applyAlignment="1">
      <alignment horizontal="center" vertical="center"/>
    </xf>
    <xf numFmtId="0" fontId="20" fillId="0" borderId="140" xfId="3" applyNumberFormat="1" applyFont="1" applyFill="1" applyBorder="1" applyAlignment="1">
      <alignment vertical="center"/>
    </xf>
    <xf numFmtId="2" fontId="29" fillId="4" borderId="53" xfId="0" applyNumberFormat="1" applyFont="1" applyFill="1" applyBorder="1" applyAlignment="1">
      <alignment horizontal="center" vertical="center" wrapText="1"/>
    </xf>
    <xf numFmtId="2" fontId="18" fillId="4" borderId="53" xfId="0" applyNumberFormat="1" applyFont="1" applyFill="1" applyBorder="1" applyAlignment="1">
      <alignment horizontal="center" vertical="center" wrapText="1"/>
    </xf>
    <xf numFmtId="2" fontId="18" fillId="4" borderId="54" xfId="0" applyNumberFormat="1" applyFont="1" applyFill="1" applyBorder="1" applyAlignment="1">
      <alignment horizontal="center" vertical="center" wrapText="1"/>
    </xf>
    <xf numFmtId="0" fontId="20" fillId="0" borderId="141" xfId="3" applyNumberFormat="1" applyFont="1" applyFill="1" applyBorder="1" applyAlignment="1">
      <alignment vertical="center"/>
    </xf>
    <xf numFmtId="2" fontId="29" fillId="4" borderId="89" xfId="0" applyNumberFormat="1" applyFont="1" applyFill="1" applyBorder="1" applyAlignment="1">
      <alignment horizontal="center" vertical="center" wrapText="1"/>
    </xf>
    <xf numFmtId="2" fontId="18" fillId="4" borderId="89" xfId="0" applyNumberFormat="1" applyFont="1" applyFill="1" applyBorder="1" applyAlignment="1">
      <alignment horizontal="center" vertical="center" wrapText="1"/>
    </xf>
    <xf numFmtId="2" fontId="18" fillId="4" borderId="90" xfId="0" applyNumberFormat="1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vertical="center"/>
    </xf>
    <xf numFmtId="0" fontId="47" fillId="4" borderId="0" xfId="3" applyNumberFormat="1" applyFont="1" applyFill="1" applyBorder="1" applyAlignment="1" applyProtection="1">
      <alignment vertical="top"/>
      <protection locked="0"/>
    </xf>
    <xf numFmtId="0" fontId="11" fillId="4" borderId="0" xfId="3" applyNumberFormat="1" applyFont="1" applyFill="1" applyBorder="1" applyAlignment="1" applyProtection="1">
      <alignment horizontal="center" vertical="center"/>
    </xf>
    <xf numFmtId="0" fontId="21" fillId="0" borderId="0" xfId="3" applyNumberFormat="1" applyFont="1" applyFill="1" applyBorder="1" applyAlignment="1">
      <alignment horizontal="center" vertical="center"/>
    </xf>
    <xf numFmtId="0" fontId="20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1" fillId="7" borderId="142" xfId="3" applyNumberFormat="1" applyFont="1" applyFill="1" applyBorder="1" applyAlignment="1" applyProtection="1">
      <alignment horizontal="left" vertical="center" wrapText="1"/>
    </xf>
    <xf numFmtId="0" fontId="21" fillId="7" borderId="143" xfId="3" applyFont="1" applyFill="1" applyBorder="1" applyAlignment="1">
      <alignment horizontal="center" vertical="center" wrapText="1"/>
    </xf>
    <xf numFmtId="0" fontId="20" fillId="0" borderId="144" xfId="3" applyFont="1" applyFill="1" applyBorder="1" applyAlignment="1">
      <alignment horizontal="left" vertical="top" wrapText="1"/>
    </xf>
    <xf numFmtId="4" fontId="20" fillId="0" borderId="145" xfId="3" applyNumberFormat="1" applyFont="1" applyFill="1" applyBorder="1" applyAlignment="1">
      <alignment horizontal="center" vertical="center" wrapText="1"/>
    </xf>
    <xf numFmtId="4" fontId="21" fillId="0" borderId="146" xfId="3" applyNumberFormat="1" applyFont="1" applyFill="1" applyBorder="1" applyAlignment="1">
      <alignment horizontal="center" vertical="center" wrapText="1"/>
    </xf>
    <xf numFmtId="0" fontId="21" fillId="7" borderId="144" xfId="3" applyNumberFormat="1" applyFont="1" applyFill="1" applyBorder="1" applyAlignment="1" applyProtection="1">
      <alignment horizontal="left" vertical="center" wrapText="1"/>
    </xf>
    <xf numFmtId="4" fontId="20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46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47" xfId="3" applyNumberFormat="1" applyFont="1" applyFill="1" applyBorder="1" applyAlignment="1">
      <alignment horizontal="center" vertical="center" wrapText="1"/>
    </xf>
    <xf numFmtId="0" fontId="20" fillId="0" borderId="63" xfId="3" applyNumberFormat="1" applyFont="1" applyFill="1" applyBorder="1" applyAlignment="1" applyProtection="1">
      <alignment horizontal="left" vertical="top" wrapText="1"/>
      <protection locked="0"/>
    </xf>
    <xf numFmtId="4" fontId="20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48" xfId="3" applyFont="1" applyFill="1" applyBorder="1" applyAlignment="1">
      <alignment horizontal="left" vertical="top" wrapText="1"/>
    </xf>
    <xf numFmtId="4" fontId="20" fillId="0" borderId="149" xfId="3" applyNumberFormat="1" applyFont="1" applyFill="1" applyBorder="1" applyAlignment="1">
      <alignment horizontal="center" vertical="center" wrapText="1"/>
    </xf>
    <xf numFmtId="4" fontId="21" fillId="0" borderId="150" xfId="3" applyNumberFormat="1" applyFont="1" applyFill="1" applyBorder="1" applyAlignment="1">
      <alignment horizontal="center" vertical="center" wrapText="1"/>
    </xf>
    <xf numFmtId="0" fontId="20" fillId="0" borderId="0" xfId="3" applyFont="1" applyFill="1" applyBorder="1" applyAlignment="1">
      <alignment horizontal="left" vertical="top" wrapText="1"/>
    </xf>
    <xf numFmtId="0" fontId="20" fillId="0" borderId="0" xfId="3" applyNumberFormat="1" applyFont="1" applyFill="1" applyBorder="1" applyAlignment="1" applyProtection="1">
      <alignment horizontal="left" vertical="top" wrapText="1"/>
      <protection locked="0"/>
    </xf>
    <xf numFmtId="0" fontId="21" fillId="0" borderId="151" xfId="3" applyNumberFormat="1" applyFont="1" applyFill="1" applyBorder="1" applyAlignment="1">
      <alignment horizontal="center"/>
    </xf>
    <xf numFmtId="4" fontId="29" fillId="4" borderId="145" xfId="0" applyNumberFormat="1" applyFont="1" applyFill="1" applyBorder="1" applyAlignment="1">
      <alignment horizontal="center" vertical="center" wrapText="1"/>
    </xf>
    <xf numFmtId="4" fontId="20" fillId="7" borderId="152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53" xfId="3" applyNumberFormat="1" applyFont="1" applyFill="1" applyBorder="1" applyAlignment="1">
      <alignment horizontal="center" vertical="center" wrapText="1"/>
    </xf>
    <xf numFmtId="4" fontId="20" fillId="7" borderId="153" xfId="3" applyNumberFormat="1" applyFont="1" applyFill="1" applyBorder="1" applyAlignment="1">
      <alignment horizontal="center" vertical="center" wrapText="1"/>
    </xf>
    <xf numFmtId="4" fontId="29" fillId="4" borderId="154" xfId="0" applyNumberFormat="1" applyFont="1" applyFill="1" applyBorder="1" applyAlignment="1">
      <alignment horizontal="center" vertical="center" wrapText="1"/>
    </xf>
    <xf numFmtId="4" fontId="21" fillId="0" borderId="153" xfId="3" applyNumberFormat="1" applyFont="1" applyFill="1" applyBorder="1" applyAlignment="1">
      <alignment horizontal="center" vertical="center" wrapText="1"/>
    </xf>
    <xf numFmtId="4" fontId="29" fillId="4" borderId="154" xfId="0" quotePrefix="1" applyNumberFormat="1" applyFont="1" applyFill="1" applyBorder="1" applyAlignment="1">
      <alignment horizontal="center" vertical="center" wrapText="1"/>
    </xf>
    <xf numFmtId="4" fontId="29" fillId="4" borderId="155" xfId="0" applyNumberFormat="1" applyFont="1" applyFill="1" applyBorder="1" applyAlignment="1">
      <alignment horizontal="center" vertical="center" wrapText="1"/>
    </xf>
    <xf numFmtId="4" fontId="21" fillId="0" borderId="156" xfId="3" applyNumberFormat="1" applyFont="1" applyFill="1" applyBorder="1" applyAlignment="1">
      <alignment horizontal="center" vertical="center" wrapText="1"/>
    </xf>
    <xf numFmtId="0" fontId="20" fillId="0" borderId="4" xfId="3" applyNumberFormat="1" applyFont="1" applyFill="1" applyBorder="1" applyAlignment="1"/>
    <xf numFmtId="0" fontId="20" fillId="0" borderId="5" xfId="3" applyNumberFormat="1" applyFont="1" applyFill="1" applyBorder="1" applyAlignment="1"/>
    <xf numFmtId="0" fontId="20" fillId="0" borderId="8" xfId="3" applyNumberFormat="1" applyFont="1" applyFill="1" applyBorder="1" applyAlignment="1"/>
    <xf numFmtId="0" fontId="20" fillId="0" borderId="12" xfId="3" applyNumberFormat="1" applyFont="1" applyFill="1" applyBorder="1" applyAlignment="1"/>
    <xf numFmtId="0" fontId="3" fillId="0" borderId="9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 wrapText="1"/>
    </xf>
    <xf numFmtId="0" fontId="3" fillId="0" borderId="12" xfId="3" applyNumberFormat="1" applyFont="1" applyFill="1" applyBorder="1" applyAlignment="1">
      <alignment horizontal="center" wrapText="1"/>
    </xf>
    <xf numFmtId="0" fontId="46" fillId="0" borderId="9" xfId="8" applyNumberFormat="1" applyFill="1" applyBorder="1" applyAlignment="1" applyProtection="1">
      <alignment horizontal="center"/>
    </xf>
    <xf numFmtId="0" fontId="49" fillId="0" borderId="0" xfId="9" applyNumberFormat="1" applyFont="1" applyFill="1" applyBorder="1" applyAlignment="1" applyProtection="1">
      <alignment horizontal="center"/>
    </xf>
    <xf numFmtId="0" fontId="49" fillId="0" borderId="12" xfId="9" applyNumberFormat="1" applyFont="1" applyFill="1" applyBorder="1" applyAlignment="1" applyProtection="1">
      <alignment horizontal="center"/>
    </xf>
    <xf numFmtId="0" fontId="20" fillId="0" borderId="28" xfId="3" applyNumberFormat="1" applyFont="1" applyFill="1" applyBorder="1" applyAlignment="1"/>
    <xf numFmtId="0" fontId="20" fillId="0" borderId="14" xfId="3" applyNumberFormat="1" applyFont="1" applyFill="1" applyBorder="1" applyAlignment="1"/>
    <xf numFmtId="0" fontId="17" fillId="0" borderId="0" xfId="0" applyFont="1"/>
    <xf numFmtId="0" fontId="50" fillId="0" borderId="0" xfId="8" applyFont="1"/>
  </cellXfs>
  <cellStyles count="10">
    <cellStyle name="Hipervínculo" xfId="8" builtinId="8"/>
    <cellStyle name="Hipervínculo 2" xfId="9" xr:uid="{74513783-A068-4D73-920D-C992AD408E6E}"/>
    <cellStyle name="Normal" xfId="0" builtinId="0"/>
    <cellStyle name="Normal 2" xfId="3" xr:uid="{A0C684D9-2474-4967-A17C-80081ACD29EB}"/>
    <cellStyle name="Normal 2 2" xfId="2" xr:uid="{EE06C539-427B-4EE8-9A1F-E987E3257A6F}"/>
    <cellStyle name="Normal 3 2" xfId="6" xr:uid="{63E4F14F-8FF2-4102-8039-98950A63C062}"/>
    <cellStyle name="Normal 3 3 2" xfId="4" xr:uid="{D9B2FB65-9AD3-49C4-BC5A-089BC2ECA90A}"/>
    <cellStyle name="Normal_Pág. 18" xfId="7" xr:uid="{020A0EC7-7B74-41A5-86BF-9D395DD3B15E}"/>
    <cellStyle name="Normal_producto intermedio 42-04 2" xfId="5" xr:uid="{42DD67D6-3E5A-4F07-92CD-ECF46477BE6F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250031</xdr:colOff>
      <xdr:row>57</xdr:row>
      <xdr:rowOff>355705</xdr:rowOff>
    </xdr:from>
    <xdr:to>
      <xdr:col>6</xdr:col>
      <xdr:colOff>1720638</xdr:colOff>
      <xdr:row>72</xdr:row>
      <xdr:rowOff>141075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0846B31-6E3E-450F-AD58-4D4F7D85C9F2}"/>
            </a:ext>
          </a:extLst>
        </xdr:cNvPr>
        <xdr:cNvSpPr txBox="1"/>
      </xdr:nvSpPr>
      <xdr:spPr>
        <a:xfrm>
          <a:off x="250031" y="13897080"/>
          <a:ext cx="14589707" cy="39350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contrapuestas, donde cotizan al alza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(1,66 %)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(0,22 %) y a la baja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(-0,32 %) y ambas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pienso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(-1,03 %)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malta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(-0,17%).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:Sin cambios en las cotizaciones de los distintos arroces en seguimiento.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Sin variación en ambas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pipas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mientras que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sube de forma ligera (0,39 %).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Ambas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aprecian: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más destacadamente 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(2,21 %), y 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 forma más leve (1,06 %).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Ascenso único en la cotización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(0,56 %). Descensos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(-0,87 %),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(-0,49 %),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(-0,20 %) y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(0,11 %). Repiten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opuestas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asciende con fuerza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(5,00 %); desciende, menos intensamente,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(-2,38 %).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mantiene el tramo a la baja en todos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(-1,07 %),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(-0,91 %),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(-0,89 %)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(-0,76 %),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(-0,73 %)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(-0,20 %).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Suben ambos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girasol refinado: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(1,08%)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(0,47 %); por el contrario, desciende, ligeramente, el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(-0,28 %).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28807</xdr:colOff>
      <xdr:row>58</xdr:row>
      <xdr:rowOff>543039</xdr:rowOff>
    </xdr:from>
    <xdr:to>
      <xdr:col>6</xdr:col>
      <xdr:colOff>1941426</xdr:colOff>
      <xdr:row>76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B303739-2254-4449-A58F-5F1EECCDA3E0}"/>
            </a:ext>
          </a:extLst>
        </xdr:cNvPr>
        <xdr:cNvSpPr txBox="1"/>
      </xdr:nvSpPr>
      <xdr:spPr>
        <a:xfrm>
          <a:off x="244707" y="15094064"/>
          <a:ext cx="12860019" cy="3816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Siguen al alza los precios medios en árbol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 este grupo,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especialmente los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(22,61 %) -por la mayor presencia relativa de variedades más cotizadas en la recta final de campaña-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(20,42%) -con las primeras cotizaciones de la variedad Verna-; también aumentan, aunque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muy ligeramente, los de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naranjas: grupo Navel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(0,48 %)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(0,45 %).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Crece el valor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(3,89 %) y, con menor intensidad, los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(0,98 %),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(0,22 %),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(0,06%) y, mínimamente,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Fuji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(0,01 %). En relación con las peras, repunta muy levemente la media de la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Blanquilla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(0,28%) y sigue sin cambios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Conferencia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Se aprecian esta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semana todos los productos de este apartado: con mucha fuerza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níspero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(27,67 %), pero también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(7,52 %)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(6,58 %)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0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Tras varias semanas en que venía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sucediendo lo contrario, </a:t>
          </a:r>
          <a:r>
            <a:rPr lang="es-ES" sz="1100" b="0" i="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en esta ocasión, son m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ayoría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los hortícolas con variaciones de signo negativo. Las bajadas más relevantes corresponden esta vez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pepino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(-39,15 %),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(-24,59 %)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berenjena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(-22,93 %).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Por el lado de los ascensos, se anotan los más significativos para 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brócoli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(29,59 %),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pimiento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verde italiano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(22,45 %) y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coliflor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(21,68 %).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Continúa la tendencia alcista en el precio medio de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patata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(13,77 %).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55</xdr:row>
      <xdr:rowOff>316864</xdr:rowOff>
    </xdr:from>
    <xdr:to>
      <xdr:col>6</xdr:col>
      <xdr:colOff>1552574</xdr:colOff>
      <xdr:row>70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DDC541D-4023-4E37-8163-ADBD4F7490C5}"/>
            </a:ext>
          </a:extLst>
        </xdr:cNvPr>
        <xdr:cNvSpPr txBox="1"/>
      </xdr:nvSpPr>
      <xdr:spPr>
        <a:xfrm>
          <a:off x="133348" y="13947139"/>
          <a:ext cx="12744451" cy="392176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han mostrado comportamientos diferentes, según el tipo de canal de que se trate. Así, se recogen leves variaciones a la baja en las canales de las terneras (-0,13 %) y un poco más intensas en las canales de los animales 8-12 meses (-0,79 %). El precio de las canales de los machos 12-24 meses sí registra variaciones positivas (0,46 %).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animales vivos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leves variaciones a la baja (-0,12 %).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 promedio en el precio semanal de las diferentes clasificaciones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(7,89 %).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anotan esta semana una variación positiva media positiva (2,49 %).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porcinos cebados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mantienen la senda alcista de las últimas semanas.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lechones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registran también subidas de precios, aunque más ligeras (0,41 %).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mantienen prácticamente estables esta semana (-0,04 %). Comportamiento similar anotado en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con variaciones ínfimas en los cuartos traseros (0,01 %), y, a la baja, algo más intensas y dentro de la levedad, en los filetes de pechuga (-0,08 %).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Sin variaciones significativas en el conjunto de precios de los diferentes tipos de puesta. Así,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y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 se mueven (0,00 %), y, cotizando a la baja, pero dentro de la estabilidad,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acondiconada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(-0,04 %) y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(-0,06 %). 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Esta semana se anota una tendencia bajista en los precios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(-0,30 %).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aprecia notablemente (18,46 %). Por otra parte, tanto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como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30 % materia grasa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se deprecian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(-6,58 % y -11,08 %, respectivamente) . 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3\P&#225;g%204%202026%20s13.xlsx" TargetMode="External"/><Relationship Id="rId1" Type="http://schemas.openxmlformats.org/officeDocument/2006/relationships/externalLinkPath" Target="P&#225;g%204%202026%20s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3\P&#225;g%205%202026%20s2613.xlsx" TargetMode="External"/><Relationship Id="rId1" Type="http://schemas.openxmlformats.org/officeDocument/2006/relationships/externalLinkPath" Target="P&#225;g%205%202026%20s261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3\P&#225;g%207%202026%20s13.xlsx" TargetMode="External"/><Relationship Id="rId1" Type="http://schemas.openxmlformats.org/officeDocument/2006/relationships/externalLinkPath" Target="P&#225;g%207%202026%20s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3\P&#225;g%209%20-%2013%202026%20s13.xlsx" TargetMode="External"/><Relationship Id="rId1" Type="http://schemas.openxmlformats.org/officeDocument/2006/relationships/externalLinkPath" Target="P&#225;g%209%20-%2013%202026%20s1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3\P&#225;g%2014%20-%2017%202026%20s13.xlsx" TargetMode="External"/><Relationship Id="rId1" Type="http://schemas.openxmlformats.org/officeDocument/2006/relationships/externalLinkPath" Target="P&#225;g%2014%20-%2017%202026%20s1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3\P&#225;g%2018%20-%2021%202026%20s13.xlsx" TargetMode="External"/><Relationship Id="rId1" Type="http://schemas.openxmlformats.org/officeDocument/2006/relationships/externalLinkPath" Target="P&#225;g%2018%20-%2021%202026%20s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5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7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9"/>
      <sheetName val="Pág. 10"/>
      <sheetName val="Pág. 11"/>
      <sheetName val="Pág. 12"/>
      <sheetName val="Pág. 1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4"/>
      <sheetName val="Pág. 15"/>
      <sheetName val="Pág. 16"/>
      <sheetName val="Pág. 17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8"/>
      <sheetName val="Pág. 19"/>
      <sheetName val="Pág. 20"/>
      <sheetName val="Pág. 2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046F-0AAF-4DC7-9E9B-4A5993AF092A}">
  <dimension ref="A1:E35"/>
  <sheetViews>
    <sheetView tabSelected="1" zoomScaleNormal="100" workbookViewId="0"/>
  </sheetViews>
  <sheetFormatPr baseColWidth="10" defaultRowHeight="13.5"/>
  <cols>
    <col min="1" max="16384" width="10.90625" style="768"/>
  </cols>
  <sheetData>
    <row r="1" spans="1:5">
      <c r="A1" s="768" t="s">
        <v>554</v>
      </c>
    </row>
    <row r="2" spans="1:5">
      <c r="A2" s="768" t="s">
        <v>555</v>
      </c>
    </row>
    <row r="3" spans="1:5">
      <c r="A3" s="768" t="s">
        <v>556</v>
      </c>
    </row>
    <row r="4" spans="1:5">
      <c r="A4" s="769" t="s">
        <v>557</v>
      </c>
      <c r="B4" s="769"/>
      <c r="C4" s="769"/>
      <c r="D4" s="769"/>
      <c r="E4" s="769"/>
    </row>
    <row r="5" spans="1:5">
      <c r="A5" s="769" t="s">
        <v>580</v>
      </c>
      <c r="B5" s="769"/>
      <c r="C5" s="769"/>
      <c r="D5" s="769"/>
      <c r="E5" s="769"/>
    </row>
    <row r="7" spans="1:5">
      <c r="A7" s="768" t="s">
        <v>558</v>
      </c>
    </row>
    <row r="8" spans="1:5">
      <c r="A8" s="769" t="s">
        <v>559</v>
      </c>
      <c r="B8" s="769"/>
      <c r="C8" s="769"/>
      <c r="D8" s="769"/>
      <c r="E8" s="769"/>
    </row>
    <row r="10" spans="1:5">
      <c r="A10" s="768" t="s">
        <v>560</v>
      </c>
    </row>
    <row r="11" spans="1:5">
      <c r="A11" s="768" t="s">
        <v>561</v>
      </c>
    </row>
    <row r="12" spans="1:5">
      <c r="A12" s="769" t="s">
        <v>562</v>
      </c>
      <c r="B12" s="769"/>
      <c r="C12" s="769"/>
      <c r="D12" s="769"/>
      <c r="E12" s="769"/>
    </row>
    <row r="13" spans="1:5">
      <c r="A13" s="769" t="s">
        <v>563</v>
      </c>
      <c r="B13" s="769"/>
      <c r="C13" s="769"/>
      <c r="D13" s="769"/>
      <c r="E13" s="769"/>
    </row>
    <row r="14" spans="1:5">
      <c r="A14" s="769" t="s">
        <v>564</v>
      </c>
      <c r="B14" s="769"/>
      <c r="C14" s="769"/>
      <c r="D14" s="769"/>
      <c r="E14" s="769"/>
    </row>
    <row r="15" spans="1:5">
      <c r="A15" s="769" t="s">
        <v>581</v>
      </c>
      <c r="B15" s="769"/>
      <c r="C15" s="769"/>
      <c r="D15" s="769"/>
      <c r="E15" s="769"/>
    </row>
    <row r="16" spans="1:5">
      <c r="A16" s="769" t="s">
        <v>582</v>
      </c>
      <c r="B16" s="769"/>
      <c r="C16" s="769"/>
      <c r="D16" s="769"/>
      <c r="E16" s="769"/>
    </row>
    <row r="17" spans="1:5">
      <c r="A17" s="768" t="s">
        <v>565</v>
      </c>
    </row>
    <row r="18" spans="1:5">
      <c r="A18" s="768" t="s">
        <v>566</v>
      </c>
    </row>
    <row r="19" spans="1:5">
      <c r="A19" s="769" t="s">
        <v>567</v>
      </c>
      <c r="B19" s="769"/>
      <c r="C19" s="769"/>
      <c r="D19" s="769"/>
      <c r="E19" s="769"/>
    </row>
    <row r="20" spans="1:5">
      <c r="A20" s="769" t="s">
        <v>583</v>
      </c>
      <c r="B20" s="769"/>
      <c r="C20" s="769"/>
      <c r="D20" s="769"/>
      <c r="E20" s="769"/>
    </row>
    <row r="21" spans="1:5">
      <c r="A21" s="768" t="s">
        <v>568</v>
      </c>
    </row>
    <row r="22" spans="1:5">
      <c r="A22" s="769" t="s">
        <v>569</v>
      </c>
      <c r="B22" s="769"/>
      <c r="C22" s="769"/>
      <c r="D22" s="769"/>
      <c r="E22" s="769"/>
    </row>
    <row r="23" spans="1:5">
      <c r="A23" s="769" t="s">
        <v>570</v>
      </c>
      <c r="B23" s="769"/>
      <c r="C23" s="769"/>
      <c r="D23" s="769"/>
      <c r="E23" s="769"/>
    </row>
    <row r="24" spans="1:5">
      <c r="A24" s="768" t="s">
        <v>571</v>
      </c>
    </row>
    <row r="25" spans="1:5">
      <c r="A25" s="768" t="s">
        <v>572</v>
      </c>
    </row>
    <row r="26" spans="1:5">
      <c r="A26" s="769" t="s">
        <v>584</v>
      </c>
      <c r="B26" s="769"/>
      <c r="C26" s="769"/>
      <c r="D26" s="769"/>
      <c r="E26" s="769"/>
    </row>
    <row r="27" spans="1:5">
      <c r="A27" s="769" t="s">
        <v>585</v>
      </c>
      <c r="B27" s="769"/>
      <c r="C27" s="769"/>
      <c r="D27" s="769"/>
      <c r="E27" s="769"/>
    </row>
    <row r="28" spans="1:5">
      <c r="A28" s="769" t="s">
        <v>586</v>
      </c>
      <c r="B28" s="769"/>
      <c r="C28" s="769"/>
      <c r="D28" s="769"/>
      <c r="E28" s="769"/>
    </row>
    <row r="29" spans="1:5">
      <c r="A29" s="768" t="s">
        <v>573</v>
      </c>
    </row>
    <row r="30" spans="1:5">
      <c r="A30" s="769" t="s">
        <v>574</v>
      </c>
      <c r="B30" s="769"/>
      <c r="C30" s="769"/>
      <c r="D30" s="769"/>
      <c r="E30" s="769"/>
    </row>
    <row r="31" spans="1:5">
      <c r="A31" s="768" t="s">
        <v>575</v>
      </c>
    </row>
    <row r="32" spans="1:5">
      <c r="A32" s="769" t="s">
        <v>576</v>
      </c>
      <c r="B32" s="769"/>
      <c r="C32" s="769"/>
      <c r="D32" s="769"/>
      <c r="E32" s="769"/>
    </row>
    <row r="33" spans="1:5">
      <c r="A33" s="769" t="s">
        <v>577</v>
      </c>
      <c r="B33" s="769"/>
      <c r="C33" s="769"/>
      <c r="D33" s="769"/>
      <c r="E33" s="769"/>
    </row>
    <row r="34" spans="1:5">
      <c r="A34" s="769" t="s">
        <v>578</v>
      </c>
      <c r="B34" s="769"/>
      <c r="C34" s="769"/>
      <c r="D34" s="769"/>
      <c r="E34" s="769"/>
    </row>
    <row r="35" spans="1:5">
      <c r="A35" s="769" t="s">
        <v>579</v>
      </c>
      <c r="B35" s="769"/>
      <c r="C35" s="769"/>
      <c r="D35" s="769"/>
      <c r="E35" s="769"/>
    </row>
  </sheetData>
  <hyperlinks>
    <hyperlink ref="A4:E4" location="'Pág. 4'!A1" display="1.1.1.         Precios Medios Nacionales de Cereales, Arroz, Oleaginosas, Tortas, Proteicos, Vinos y Aceites." xr:uid="{0AE48DA2-06EB-4D5A-9FE3-09422EDEEEF2}"/>
    <hyperlink ref="A5:E5" location="'Pág. 5'!A1" display="1.1.2.         Precios Medios Nacionales en Origen de Frutas y Hortalízas" xr:uid="{6E526F74-2664-48A2-9623-98F4E3F19036}"/>
    <hyperlink ref="A8:E8" location="'Pág. 7'!A1" display="1.2.1.         Precios Medios Nacionales de Productos Ganaderos" xr:uid="{112FDDEB-3608-40EE-98CF-1185DB750782}"/>
    <hyperlink ref="A12:E12" location="'Pág. 9'!A1" display="2.1.1.         Precios Medios en Mercados Representativos: Trigo" xr:uid="{3B5A04E4-7F5B-45C5-9976-2807F2148BC2}"/>
    <hyperlink ref="A13:E13" location="'Pág. 10'!A1" display="2.1.2.         Precios Medios en Mercados Representativos: Cebada y maíz" xr:uid="{1512D59F-6DAD-4473-BF99-AB7B61C4F6A7}"/>
    <hyperlink ref="A14:E14" location="'Pág. 11'!A1" display="2.1.3.         Precios Medios en Mercados Representativos: Arroz y alfalfa" xr:uid="{B0F75A52-6DFD-400D-A34C-34BA8E996167}"/>
    <hyperlink ref="A15:E15" location="'Pág. 12'!A1" display="2.2.         Precios Medios en Mercados Representativos de Vinos" xr:uid="{85A9D328-7168-4DB3-A55A-E9018CB78CB7}"/>
    <hyperlink ref="A16:E16" location="'Pág. 13'!A1" display="2.3.         Precios Medios en Mercados Representativos de Aceites y Semilla de Girasol" xr:uid="{DBDBEEC4-80AA-46FE-820C-58A8558AD714}"/>
    <hyperlink ref="A19:E19" location="'Pág. 14'!A1" display="3.1.1.         Precios de Producción de Frutas en el Mercado Interior: Precios diarios y Precios Medios Ponderados Semanales en mercados representativos" xr:uid="{A2B9925A-0493-4FCF-B5BE-F5EFD2655304}"/>
    <hyperlink ref="A20:E20" location="'Pág. 15'!A1" display="3.1.2.         Precios de Producción de Frutas en el Mercado Interior: Precios diarios y Precios Medios Ponderados Semanales en mercados representativos" xr:uid="{4F7CB2CA-9131-467C-AA3C-6268E9A3C4AE}"/>
    <hyperlink ref="A22:E22" location="'Pág. 16'!A1" display="3.2.1.         Precios de Producción de Productos Hortícolas en el Mercado Interior: Precios diarios y Precios Medios Ponderados Semanales en mercados" xr:uid="{99A6B2A5-9DB2-4329-981B-D4F68B4C8CC3}"/>
    <hyperlink ref="A23:E23" location="'Pág. 17'!A1" display="3.2.2.         Precios de Producción de Productos Hortícolas en el Mercado Interior: Precios Medios Ponderados Semanales Nacionales" xr:uid="{B089CB8A-67ED-459D-90C7-9173ABC9734C}"/>
    <hyperlink ref="A26:E26" location="'Pág. 18'!A1" display="4.1.1.         Precios Medios Nacionales de Canales de Bovino Pesado" xr:uid="{46DDC9B2-C8C5-4D52-8E8D-57BF235B14AE}"/>
    <hyperlink ref="A27:E27" location="'Pág. 19'!A1" display="4.1.2.         Precios Medios Nacionales del Bovino Vivo" xr:uid="{BD11BCAF-92B3-4B75-9972-4FFA7098F459}"/>
    <hyperlink ref="A28:E28" location="'Pág. 19'!A1" display="4.1.3.         Precios Medios Nacionales de Otros Animales de la Especie Bovina" xr:uid="{09BC0E5B-D1D7-408D-A188-FEC7DEF47A45}"/>
    <hyperlink ref="A30:E30" location="'Pág. 19'!A1" display="4.2.1.         Precios Medios Nacionales de Canales de Ovino Frescas o Refrigeradas" xr:uid="{10FA0DA2-A047-4D71-884F-DA0781F6A2EB}"/>
    <hyperlink ref="A32:E32" location="'Pág. 20'!A1" display="4.3.1.         Precios Medios de Canales de Porcino de Capa Blanca" xr:uid="{57245ADD-A31D-4361-BCC6-16D314F31AAE}"/>
    <hyperlink ref="A33:E33" location="'Pág. 20'!A1" display="4.3.2.         Precios Medios en Mercados Representativos Provinciales de Porcino Cebado" xr:uid="{14AEC940-B5E1-497B-9F96-746D7393D7E3}"/>
    <hyperlink ref="A34:E34" location="'Pág. 21'!A1" display="4.3.3.         Precios Medios de Porcino Precoz, Lechones y Otras Calidades" xr:uid="{65820676-F511-45DC-BB96-FB29A823D102}"/>
    <hyperlink ref="A35:E35" location="'Pág. 21'!A1" display="4.3.4.         Precios Medios de Porcino: Tronco Ibérico" xr:uid="{2312C921-D3EE-4736-8B28-FFBF73C07C94}"/>
  </hyperlinks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5B1B-78FB-4E93-8CCB-CDCAA78D4BCC}">
  <sheetPr>
    <pageSetUpPr fitToPage="1"/>
  </sheetPr>
  <dimension ref="A1:Q86"/>
  <sheetViews>
    <sheetView showGridLines="0" zoomScaleNormal="100" zoomScaleSheetLayoutView="80" workbookViewId="0"/>
  </sheetViews>
  <sheetFormatPr baseColWidth="10" defaultColWidth="17.1796875" defaultRowHeight="13.5"/>
  <cols>
    <col min="1" max="1" width="4.54296875" style="1" customWidth="1"/>
    <col min="2" max="2" width="14.26953125" style="1" customWidth="1"/>
    <col min="3" max="3" width="88" style="1" customWidth="1"/>
    <col min="4" max="7" width="27" style="1" customWidth="1"/>
    <col min="8" max="8" width="1.26953125" style="1" customWidth="1"/>
    <col min="9" max="9" width="17.1796875" style="1" customWidth="1"/>
    <col min="10" max="16384" width="17.1796875" style="1"/>
  </cols>
  <sheetData>
    <row r="1" spans="2:7" ht="10.4" customHeight="1"/>
    <row r="2" spans="2:7" ht="15" customHeight="1">
      <c r="B2" s="2" t="s">
        <v>0</v>
      </c>
      <c r="C2" s="2"/>
      <c r="D2" s="2"/>
      <c r="E2" s="2"/>
      <c r="F2" s="2"/>
      <c r="G2" s="3"/>
    </row>
    <row r="3" spans="2:7" ht="3" customHeight="1">
      <c r="B3" s="4"/>
      <c r="C3" s="4"/>
      <c r="D3" s="4"/>
      <c r="E3" s="4"/>
      <c r="F3" s="4"/>
      <c r="G3" s="3"/>
    </row>
    <row r="4" spans="2:7" ht="15" customHeight="1">
      <c r="B4" s="5" t="s">
        <v>1</v>
      </c>
      <c r="C4" s="5"/>
      <c r="D4" s="5"/>
      <c r="E4" s="5"/>
      <c r="F4" s="5"/>
      <c r="G4" s="5"/>
    </row>
    <row r="5" spans="2:7" ht="5.25" customHeight="1" thickBot="1">
      <c r="B5" s="6"/>
      <c r="C5" s="6"/>
      <c r="D5" s="6"/>
      <c r="E5" s="6"/>
      <c r="F5" s="6"/>
      <c r="G5" s="6"/>
    </row>
    <row r="6" spans="2:7" ht="18.649999999999999" customHeight="1" thickBot="1">
      <c r="B6" s="7" t="s">
        <v>2</v>
      </c>
      <c r="C6" s="8"/>
      <c r="D6" s="8"/>
      <c r="E6" s="8"/>
      <c r="F6" s="8"/>
      <c r="G6" s="9"/>
    </row>
    <row r="7" spans="2:7" ht="20.149999999999999" customHeight="1">
      <c r="B7" s="10"/>
      <c r="C7" s="11" t="s">
        <v>3</v>
      </c>
      <c r="D7" s="12" t="s">
        <v>4</v>
      </c>
      <c r="E7" s="12" t="s">
        <v>5</v>
      </c>
      <c r="F7" s="13" t="s">
        <v>6</v>
      </c>
      <c r="G7" s="14" t="s">
        <v>6</v>
      </c>
    </row>
    <row r="8" spans="2:7" ht="20.149999999999999" customHeight="1">
      <c r="B8" s="15"/>
      <c r="C8" s="16" t="s">
        <v>7</v>
      </c>
      <c r="D8" s="17" t="s">
        <v>8</v>
      </c>
      <c r="E8" s="17" t="s">
        <v>9</v>
      </c>
      <c r="F8" s="18" t="s">
        <v>10</v>
      </c>
      <c r="G8" s="19" t="s">
        <v>10</v>
      </c>
    </row>
    <row r="9" spans="2:7" ht="20.149999999999999" customHeight="1" thickBot="1">
      <c r="B9" s="15"/>
      <c r="C9" s="16"/>
      <c r="D9" s="20">
        <v>2026</v>
      </c>
      <c r="E9" s="20">
        <v>2026</v>
      </c>
      <c r="F9" s="21" t="s">
        <v>11</v>
      </c>
      <c r="G9" s="22" t="s">
        <v>12</v>
      </c>
    </row>
    <row r="10" spans="2:7" ht="20.149999999999999" customHeight="1" thickBot="1">
      <c r="B10" s="23"/>
      <c r="C10" s="24" t="s">
        <v>13</v>
      </c>
      <c r="D10" s="25"/>
      <c r="E10" s="25"/>
      <c r="F10" s="26"/>
      <c r="G10" s="27"/>
    </row>
    <row r="11" spans="2:7" ht="20.149999999999999" customHeight="1">
      <c r="B11" s="28" t="s">
        <v>14</v>
      </c>
      <c r="C11" s="29" t="s">
        <v>15</v>
      </c>
      <c r="D11" s="30">
        <v>219.35</v>
      </c>
      <c r="E11" s="30">
        <v>218.64</v>
      </c>
      <c r="F11" s="31">
        <f>(E11-D11)</f>
        <v>-0.71000000000000796</v>
      </c>
      <c r="G11" s="32">
        <f>((E11*100)/D11)-100</f>
        <v>-0.32368361066788509</v>
      </c>
    </row>
    <row r="12" spans="2:7" ht="20.149999999999999" customHeight="1">
      <c r="B12" s="28" t="s">
        <v>14</v>
      </c>
      <c r="C12" s="29" t="s">
        <v>16</v>
      </c>
      <c r="D12" s="33">
        <v>254.55</v>
      </c>
      <c r="E12" s="33">
        <v>258.77999999999997</v>
      </c>
      <c r="F12" s="31">
        <f>(E12-D12)</f>
        <v>4.2299999999999613</v>
      </c>
      <c r="G12" s="32">
        <f>((E12*100)/D12)-100</f>
        <v>1.6617560400706992</v>
      </c>
    </row>
    <row r="13" spans="2:7" ht="20.149999999999999" customHeight="1">
      <c r="B13" s="28" t="s">
        <v>14</v>
      </c>
      <c r="C13" s="29" t="s">
        <v>17</v>
      </c>
      <c r="D13" s="30">
        <v>209.71</v>
      </c>
      <c r="E13" s="30">
        <v>207.56</v>
      </c>
      <c r="F13" s="31">
        <f>(E13-D13)</f>
        <v>-2.1500000000000057</v>
      </c>
      <c r="G13" s="32">
        <f>((E13*100)/D13)-100</f>
        <v>-1.02522531114397</v>
      </c>
    </row>
    <row r="14" spans="2:7" ht="20.149999999999999" customHeight="1">
      <c r="B14" s="28" t="s">
        <v>14</v>
      </c>
      <c r="C14" s="29" t="s">
        <v>18</v>
      </c>
      <c r="D14" s="30">
        <v>211.96</v>
      </c>
      <c r="E14" s="30">
        <v>211.59</v>
      </c>
      <c r="F14" s="31">
        <f>(E14-D14)</f>
        <v>-0.37000000000000455</v>
      </c>
      <c r="G14" s="32">
        <f>((E14*100)/D14)-100</f>
        <v>-0.17456123796942791</v>
      </c>
    </row>
    <row r="15" spans="2:7" ht="20.149999999999999" customHeight="1" thickBot="1">
      <c r="B15" s="28" t="s">
        <v>14</v>
      </c>
      <c r="C15" s="29" t="s">
        <v>19</v>
      </c>
      <c r="D15" s="30">
        <v>228.86</v>
      </c>
      <c r="E15" s="30">
        <v>229.37</v>
      </c>
      <c r="F15" s="31">
        <f>(E15-D15)</f>
        <v>0.50999999999999091</v>
      </c>
      <c r="G15" s="32">
        <f>((E15*100)/D15)-100</f>
        <v>0.22284365987940191</v>
      </c>
    </row>
    <row r="16" spans="2:7" ht="20.149999999999999" customHeight="1" thickBot="1">
      <c r="B16" s="23"/>
      <c r="C16" s="24" t="s">
        <v>20</v>
      </c>
      <c r="D16" s="34"/>
      <c r="E16" s="34"/>
      <c r="F16" s="35"/>
      <c r="G16" s="36"/>
    </row>
    <row r="17" spans="2:16" ht="20.149999999999999" customHeight="1">
      <c r="B17" s="37" t="s">
        <v>21</v>
      </c>
      <c r="C17" s="38" t="s">
        <v>22</v>
      </c>
      <c r="D17" s="39">
        <v>462.35</v>
      </c>
      <c r="E17" s="39">
        <v>462.35</v>
      </c>
      <c r="F17" s="31">
        <f>(E17-D17)</f>
        <v>0</v>
      </c>
      <c r="G17" s="32">
        <f>((E17*100)/D17)-100</f>
        <v>0</v>
      </c>
    </row>
    <row r="18" spans="2:16" ht="20.149999999999999" customHeight="1">
      <c r="B18" s="37" t="s">
        <v>21</v>
      </c>
      <c r="C18" s="38" t="s">
        <v>23</v>
      </c>
      <c r="D18" s="39">
        <v>342.21</v>
      </c>
      <c r="E18" s="39">
        <v>342.21</v>
      </c>
      <c r="F18" s="31">
        <f>(E18-D18)</f>
        <v>0</v>
      </c>
      <c r="G18" s="32">
        <f>((E18*100)/D18)-100</f>
        <v>0</v>
      </c>
    </row>
    <row r="19" spans="2:16" ht="20.149999999999999" customHeight="1">
      <c r="B19" s="37" t="s">
        <v>24</v>
      </c>
      <c r="C19" s="38" t="s">
        <v>25</v>
      </c>
      <c r="D19" s="30">
        <v>1107.1300000000001</v>
      </c>
      <c r="E19" s="30">
        <v>1107.1300000000001</v>
      </c>
      <c r="F19" s="31">
        <f>(E19-D19)</f>
        <v>0</v>
      </c>
      <c r="G19" s="32">
        <f>((E19*100)/D19)-100</f>
        <v>0</v>
      </c>
    </row>
    <row r="20" spans="2:16" ht="20.149999999999999" customHeight="1" thickBot="1">
      <c r="B20" s="37" t="s">
        <v>24</v>
      </c>
      <c r="C20" s="38" t="s">
        <v>26</v>
      </c>
      <c r="D20" s="39">
        <v>399.2</v>
      </c>
      <c r="E20" s="39">
        <v>399.2</v>
      </c>
      <c r="F20" s="31">
        <f>(E20-D20)</f>
        <v>0</v>
      </c>
      <c r="G20" s="32">
        <f>((E20*100)/D20)-100</f>
        <v>0</v>
      </c>
    </row>
    <row r="21" spans="2:16" ht="20.149999999999999" customHeight="1" thickBot="1">
      <c r="B21" s="23"/>
      <c r="C21" s="24" t="s">
        <v>27</v>
      </c>
      <c r="D21" s="40"/>
      <c r="E21" s="40"/>
      <c r="F21" s="35"/>
      <c r="G21" s="41"/>
    </row>
    <row r="22" spans="2:16" ht="20.149999999999999" customHeight="1">
      <c r="B22" s="28" t="s">
        <v>28</v>
      </c>
      <c r="C22" s="42" t="s">
        <v>29</v>
      </c>
      <c r="D22" s="43">
        <v>552.79</v>
      </c>
      <c r="E22" s="43">
        <v>552.79</v>
      </c>
      <c r="F22" s="31">
        <f>(E22-D22)</f>
        <v>0</v>
      </c>
      <c r="G22" s="32">
        <f>((E22*100)/D22)-100</f>
        <v>0</v>
      </c>
    </row>
    <row r="23" spans="2:16" ht="20.149999999999999" customHeight="1">
      <c r="B23" s="28" t="s">
        <v>28</v>
      </c>
      <c r="C23" s="42" t="s">
        <v>30</v>
      </c>
      <c r="D23" s="43">
        <v>469.87</v>
      </c>
      <c r="E23" s="43">
        <v>469.87</v>
      </c>
      <c r="F23" s="31">
        <f>(E23-D23)</f>
        <v>0</v>
      </c>
      <c r="G23" s="32">
        <f>((E23*100)/D23)-100</f>
        <v>0</v>
      </c>
    </row>
    <row r="24" spans="2:16" ht="20.149999999999999" customHeight="1" thickBot="1">
      <c r="B24" s="37" t="s">
        <v>28</v>
      </c>
      <c r="C24" s="42" t="s">
        <v>31</v>
      </c>
      <c r="D24" s="43">
        <v>424.73</v>
      </c>
      <c r="E24" s="43">
        <v>426.38</v>
      </c>
      <c r="F24" s="31">
        <f>(E24-D24)</f>
        <v>1.6499999999999773</v>
      </c>
      <c r="G24" s="32">
        <f>((E24*100)/D24)-100</f>
        <v>0.38848209450709703</v>
      </c>
      <c r="J24" s="44"/>
    </row>
    <row r="25" spans="2:16" ht="20.149999999999999" customHeight="1" thickBot="1">
      <c r="B25" s="23"/>
      <c r="C25" s="24" t="s">
        <v>32</v>
      </c>
      <c r="D25" s="40"/>
      <c r="E25" s="40"/>
      <c r="F25" s="35"/>
      <c r="G25" s="41"/>
      <c r="K25" s="44"/>
    </row>
    <row r="26" spans="2:16" ht="20.149999999999999" customHeight="1">
      <c r="B26" s="45" t="s">
        <v>33</v>
      </c>
      <c r="C26" s="46" t="s">
        <v>34</v>
      </c>
      <c r="D26" s="47">
        <v>190.47</v>
      </c>
      <c r="E26" s="47">
        <v>192.49</v>
      </c>
      <c r="F26" s="31">
        <f>(E26-D26)</f>
        <v>2.0200000000000102</v>
      </c>
      <c r="G26" s="32">
        <f>((E26*100)/D26)-100</f>
        <v>1.0605344673701893</v>
      </c>
      <c r="J26" s="44"/>
    </row>
    <row r="27" spans="2:16" ht="20.149999999999999" customHeight="1" thickBot="1">
      <c r="B27" s="45" t="s">
        <v>33</v>
      </c>
      <c r="C27" s="48" t="s">
        <v>35</v>
      </c>
      <c r="D27" s="49">
        <v>373.38</v>
      </c>
      <c r="E27" s="49">
        <v>381.65</v>
      </c>
      <c r="F27" s="31">
        <f>(E27-D27)</f>
        <v>8.2699999999999818</v>
      </c>
      <c r="G27" s="32">
        <f>((E27*100)/D27)-100</f>
        <v>2.21490170871499</v>
      </c>
      <c r="L27" s="44"/>
    </row>
    <row r="28" spans="2:16" ht="20.149999999999999" customHeight="1" thickBot="1">
      <c r="B28" s="23"/>
      <c r="C28" s="24" t="s">
        <v>36</v>
      </c>
      <c r="D28" s="40"/>
      <c r="E28" s="40"/>
      <c r="F28" s="35"/>
      <c r="G28" s="41"/>
      <c r="J28" s="44"/>
    </row>
    <row r="29" spans="2:16" ht="20.149999999999999" customHeight="1">
      <c r="B29" s="28" t="s">
        <v>37</v>
      </c>
      <c r="C29" s="50" t="s">
        <v>38</v>
      </c>
      <c r="D29" s="43">
        <v>246.01</v>
      </c>
      <c r="E29" s="43">
        <v>247.38</v>
      </c>
      <c r="F29" s="31">
        <f t="shared" ref="F29:F34" si="0">(E29-D29)</f>
        <v>1.3700000000000045</v>
      </c>
      <c r="G29" s="32">
        <f t="shared" ref="G29:G34" si="1">((E29*100)/D29)-100</f>
        <v>0.55688793138490666</v>
      </c>
      <c r="K29" s="44"/>
    </row>
    <row r="30" spans="2:16" ht="20.149999999999999" customHeight="1">
      <c r="B30" s="28" t="s">
        <v>37</v>
      </c>
      <c r="C30" s="42" t="s">
        <v>39</v>
      </c>
      <c r="D30" s="43">
        <v>179</v>
      </c>
      <c r="E30" s="43">
        <v>178.65</v>
      </c>
      <c r="F30" s="31">
        <f t="shared" si="0"/>
        <v>-0.34999999999999432</v>
      </c>
      <c r="G30" s="32">
        <f t="shared" si="1"/>
        <v>-0.19553072625699031</v>
      </c>
      <c r="I30" s="44"/>
    </row>
    <row r="31" spans="2:16" ht="20.149999999999999" customHeight="1">
      <c r="B31" s="45" t="s">
        <v>28</v>
      </c>
      <c r="C31" s="51" t="s">
        <v>40</v>
      </c>
      <c r="D31" s="52">
        <v>246.65</v>
      </c>
      <c r="E31" s="52">
        <v>245.44</v>
      </c>
      <c r="F31" s="31">
        <f t="shared" si="0"/>
        <v>-1.210000000000008</v>
      </c>
      <c r="G31" s="32">
        <f t="shared" si="1"/>
        <v>-0.49057368741131313</v>
      </c>
      <c r="L31" s="44"/>
      <c r="P31" s="44"/>
    </row>
    <row r="32" spans="2:16" ht="20.149999999999999" customHeight="1">
      <c r="B32" s="45" t="s">
        <v>21</v>
      </c>
      <c r="C32" s="53" t="s">
        <v>41</v>
      </c>
      <c r="D32" s="54">
        <v>1112.42</v>
      </c>
      <c r="E32" s="54">
        <v>1112.42</v>
      </c>
      <c r="F32" s="31">
        <f>(E32-D32)</f>
        <v>0</v>
      </c>
      <c r="G32" s="32">
        <f>((E32*100)/D32)-100</f>
        <v>0</v>
      </c>
    </row>
    <row r="33" spans="2:17" ht="20.149999999999999" customHeight="1">
      <c r="B33" s="45" t="s">
        <v>21</v>
      </c>
      <c r="C33" s="51" t="s">
        <v>42</v>
      </c>
      <c r="D33" s="54">
        <v>575.83000000000004</v>
      </c>
      <c r="E33" s="54">
        <v>570.84</v>
      </c>
      <c r="F33" s="31">
        <f t="shared" si="0"/>
        <v>-4.9900000000000091</v>
      </c>
      <c r="G33" s="32">
        <f t="shared" si="1"/>
        <v>-0.86657520448744663</v>
      </c>
      <c r="J33" s="44"/>
    </row>
    <row r="34" spans="2:17" ht="20.149999999999999" customHeight="1" thickBot="1">
      <c r="B34" s="45" t="s">
        <v>21</v>
      </c>
      <c r="C34" s="48" t="s">
        <v>43</v>
      </c>
      <c r="D34" s="49">
        <v>275.77999999999997</v>
      </c>
      <c r="E34" s="49">
        <v>275.47000000000003</v>
      </c>
      <c r="F34" s="31">
        <f t="shared" si="0"/>
        <v>-0.30999999999994543</v>
      </c>
      <c r="G34" s="32">
        <f t="shared" si="1"/>
        <v>-0.11240844151132023</v>
      </c>
      <c r="I34" s="44"/>
    </row>
    <row r="35" spans="2:17" ht="20.149999999999999" customHeight="1" thickBot="1">
      <c r="B35" s="55"/>
      <c r="C35" s="56" t="s">
        <v>44</v>
      </c>
      <c r="D35" s="57"/>
      <c r="E35" s="57"/>
      <c r="F35" s="58"/>
      <c r="G35" s="59"/>
      <c r="K35" s="44"/>
    </row>
    <row r="36" spans="2:17" ht="20.149999999999999" customHeight="1">
      <c r="B36" s="60" t="s">
        <v>45</v>
      </c>
      <c r="C36" s="61" t="s">
        <v>46</v>
      </c>
      <c r="D36" s="30">
        <v>50.31</v>
      </c>
      <c r="E36" s="30">
        <v>52.83</v>
      </c>
      <c r="F36" s="31">
        <f>(E36-D36)</f>
        <v>2.519999999999996</v>
      </c>
      <c r="G36" s="32">
        <v>5</v>
      </c>
      <c r="K36" s="44"/>
    </row>
    <row r="37" spans="2:17" ht="20.149999999999999" customHeight="1" thickBot="1">
      <c r="B37" s="62" t="s">
        <v>45</v>
      </c>
      <c r="C37" s="63" t="s">
        <v>47</v>
      </c>
      <c r="D37" s="64">
        <v>52.17</v>
      </c>
      <c r="E37" s="64">
        <v>50.93</v>
      </c>
      <c r="F37" s="31">
        <f>(E37-D37)</f>
        <v>-1.240000000000002</v>
      </c>
      <c r="G37" s="32">
        <f>((E37*100)/D37)-100</f>
        <v>-2.3768449300364267</v>
      </c>
      <c r="P37" s="44"/>
    </row>
    <row r="38" spans="2:17" ht="20.149999999999999" customHeight="1" thickBot="1">
      <c r="B38" s="65"/>
      <c r="C38" s="66" t="s">
        <v>48</v>
      </c>
      <c r="D38" s="67"/>
      <c r="E38" s="67"/>
      <c r="F38" s="58"/>
      <c r="G38" s="59"/>
      <c r="J38" s="44"/>
      <c r="K38" s="44"/>
      <c r="L38" s="44"/>
    </row>
    <row r="39" spans="2:17" ht="20.149999999999999" customHeight="1">
      <c r="B39" s="68" t="s">
        <v>49</v>
      </c>
      <c r="C39" s="61" t="s">
        <v>50</v>
      </c>
      <c r="D39" s="69">
        <v>428</v>
      </c>
      <c r="E39" s="69">
        <v>427.16</v>
      </c>
      <c r="F39" s="31">
        <f t="shared" ref="F39:F44" si="2">(E39-D39)</f>
        <v>-0.83999999999997499</v>
      </c>
      <c r="G39" s="32">
        <f t="shared" ref="G39:G44" si="3">((E39*100)/D39)-100</f>
        <v>-0.19626168224299079</v>
      </c>
      <c r="I39" s="44"/>
      <c r="K39" s="44"/>
      <c r="L39" s="44"/>
    </row>
    <row r="40" spans="2:17" ht="20.149999999999999" customHeight="1">
      <c r="B40" s="37" t="s">
        <v>49</v>
      </c>
      <c r="C40" s="70" t="s">
        <v>51</v>
      </c>
      <c r="D40" s="52">
        <v>363.57</v>
      </c>
      <c r="E40" s="52">
        <v>360.8</v>
      </c>
      <c r="F40" s="31">
        <f t="shared" si="2"/>
        <v>-2.7699999999999818</v>
      </c>
      <c r="G40" s="32">
        <f t="shared" si="3"/>
        <v>-0.7618890447506601</v>
      </c>
      <c r="I40" s="44"/>
      <c r="J40" s="44"/>
      <c r="K40" s="44"/>
      <c r="L40" s="44"/>
      <c r="M40" s="44"/>
    </row>
    <row r="41" spans="2:17" ht="20.149999999999999" customHeight="1">
      <c r="B41" s="37" t="s">
        <v>49</v>
      </c>
      <c r="C41" s="70" t="s">
        <v>52</v>
      </c>
      <c r="D41" s="52">
        <v>323.63</v>
      </c>
      <c r="E41" s="52">
        <v>320.69</v>
      </c>
      <c r="F41" s="31">
        <f t="shared" si="2"/>
        <v>-2.9399999999999977</v>
      </c>
      <c r="G41" s="32">
        <f t="shared" si="3"/>
        <v>-0.90844482897135492</v>
      </c>
      <c r="I41" s="44"/>
      <c r="L41" s="44"/>
    </row>
    <row r="42" spans="2:17" ht="20.149999999999999" customHeight="1">
      <c r="B42" s="37" t="s">
        <v>53</v>
      </c>
      <c r="C42" s="70" t="s">
        <v>54</v>
      </c>
      <c r="D42" s="52">
        <v>336.45</v>
      </c>
      <c r="E42" s="52">
        <v>333.98</v>
      </c>
      <c r="F42" s="31">
        <f t="shared" si="2"/>
        <v>-2.4699999999999704</v>
      </c>
      <c r="G42" s="32">
        <f t="shared" si="3"/>
        <v>-0.73413582998959726</v>
      </c>
      <c r="I42" s="44"/>
      <c r="J42" s="44"/>
      <c r="K42" s="44"/>
    </row>
    <row r="43" spans="2:17" ht="20.149999999999999" customHeight="1">
      <c r="B43" s="37" t="s">
        <v>55</v>
      </c>
      <c r="C43" s="70" t="s">
        <v>56</v>
      </c>
      <c r="D43" s="52">
        <v>131.63</v>
      </c>
      <c r="E43" s="52">
        <v>130.22</v>
      </c>
      <c r="F43" s="31">
        <f t="shared" si="2"/>
        <v>-1.4099999999999966</v>
      </c>
      <c r="G43" s="32">
        <f t="shared" si="3"/>
        <v>-1.0711843804603802</v>
      </c>
      <c r="I43" s="44"/>
      <c r="J43" s="44"/>
      <c r="K43" s="44"/>
    </row>
    <row r="44" spans="2:17" ht="20.149999999999999" customHeight="1" thickBot="1">
      <c r="B44" s="71" t="s">
        <v>53</v>
      </c>
      <c r="C44" s="72" t="s">
        <v>57</v>
      </c>
      <c r="D44" s="73">
        <v>201.65</v>
      </c>
      <c r="E44" s="73">
        <v>199.85</v>
      </c>
      <c r="F44" s="31">
        <f t="shared" si="2"/>
        <v>-1.8000000000000114</v>
      </c>
      <c r="G44" s="32">
        <f t="shared" si="3"/>
        <v>-0.89263575502107528</v>
      </c>
      <c r="I44" s="44"/>
      <c r="J44" s="44"/>
      <c r="K44" s="44"/>
      <c r="Q44" s="44"/>
    </row>
    <row r="45" spans="2:17" ht="20.149999999999999" customHeight="1" thickBot="1">
      <c r="B45" s="55"/>
      <c r="C45" s="74" t="s">
        <v>58</v>
      </c>
      <c r="D45" s="57"/>
      <c r="E45" s="57"/>
      <c r="F45" s="58"/>
      <c r="G45" s="59"/>
      <c r="I45" s="44"/>
      <c r="J45" s="44"/>
      <c r="K45" s="44"/>
    </row>
    <row r="46" spans="2:17" ht="20.149999999999999" customHeight="1">
      <c r="B46" s="68" t="s">
        <v>53</v>
      </c>
      <c r="C46" s="75" t="s">
        <v>59</v>
      </c>
      <c r="D46" s="69">
        <v>140.1</v>
      </c>
      <c r="E46" s="69">
        <v>141.61000000000001</v>
      </c>
      <c r="F46" s="31">
        <f>(E46-D46)</f>
        <v>1.5100000000000193</v>
      </c>
      <c r="G46" s="32">
        <f>((E46*100)/D46)-100</f>
        <v>1.0778015703069457</v>
      </c>
      <c r="I46" s="44"/>
      <c r="J46" s="44"/>
      <c r="K46" s="44"/>
    </row>
    <row r="47" spans="2:17" ht="20.149999999999999" customHeight="1" thickBot="1">
      <c r="B47" s="76" t="s">
        <v>53</v>
      </c>
      <c r="C47" s="77" t="s">
        <v>60</v>
      </c>
      <c r="D47" s="78">
        <v>165.01</v>
      </c>
      <c r="E47" s="78">
        <v>165.79</v>
      </c>
      <c r="F47" s="31">
        <f>(E47-D47)</f>
        <v>0.78000000000000114</v>
      </c>
      <c r="G47" s="32">
        <f>((E47*100)/D47)-100</f>
        <v>0.47269862432580112</v>
      </c>
      <c r="I47" s="44"/>
      <c r="J47" s="44"/>
      <c r="K47" s="44"/>
      <c r="L47" s="44"/>
    </row>
    <row r="48" spans="2:17" ht="20.149999999999999" customHeight="1" thickBot="1">
      <c r="B48" s="23"/>
      <c r="C48" s="24" t="s">
        <v>61</v>
      </c>
      <c r="D48" s="40"/>
      <c r="E48" s="40"/>
      <c r="F48" s="35"/>
      <c r="G48" s="41"/>
      <c r="I48" s="44"/>
      <c r="J48" s="44"/>
      <c r="K48" s="44"/>
    </row>
    <row r="49" spans="1:12" s="79" customFormat="1" ht="20.149999999999999" customHeight="1" thickBot="1">
      <c r="B49" s="80" t="s">
        <v>53</v>
      </c>
      <c r="C49" s="81" t="s">
        <v>62</v>
      </c>
      <c r="D49" s="82">
        <v>132.68099999999998</v>
      </c>
      <c r="E49" s="82">
        <v>132.30799999999999</v>
      </c>
      <c r="F49" s="83">
        <f>(E49-D49)</f>
        <v>-0.37299999999999045</v>
      </c>
      <c r="G49" s="84">
        <f>((E49*100)/D49)-100</f>
        <v>-0.28112540604908531</v>
      </c>
      <c r="I49" s="85"/>
      <c r="J49" s="85"/>
      <c r="K49" s="85"/>
      <c r="L49" s="85"/>
    </row>
    <row r="50" spans="1:12" s="79" customFormat="1" ht="9" customHeight="1">
      <c r="B50" s="86"/>
      <c r="C50" s="87"/>
      <c r="D50" s="88"/>
      <c r="E50" s="88"/>
      <c r="F50" s="88"/>
      <c r="G50" s="89"/>
    </row>
    <row r="51" spans="1:12" s="79" customFormat="1" ht="12" customHeight="1">
      <c r="B51" s="90" t="s">
        <v>63</v>
      </c>
      <c r="C51" s="91"/>
      <c r="D51" s="85"/>
      <c r="E51" s="85"/>
      <c r="F51" s="91"/>
      <c r="G51" s="1"/>
      <c r="H51" s="88"/>
    </row>
    <row r="52" spans="1:12" s="79" customFormat="1" ht="12" customHeight="1">
      <c r="B52" s="92" t="s">
        <v>64</v>
      </c>
      <c r="C52" s="91"/>
      <c r="D52" s="93"/>
      <c r="E52" s="93"/>
      <c r="F52" s="93"/>
      <c r="G52" s="1"/>
      <c r="H52" s="88"/>
    </row>
    <row r="53" spans="1:12" ht="11.25" customHeight="1">
      <c r="A53" s="79"/>
      <c r="B53" s="92" t="s">
        <v>65</v>
      </c>
      <c r="C53" s="91"/>
      <c r="D53" s="91"/>
      <c r="E53" s="91"/>
      <c r="F53" s="93"/>
      <c r="G53" s="94"/>
    </row>
    <row r="54" spans="1:12" ht="12.65" customHeight="1">
      <c r="A54" s="79"/>
      <c r="B54" s="92" t="s">
        <v>66</v>
      </c>
      <c r="C54" s="91"/>
      <c r="D54" s="91"/>
      <c r="E54" s="91"/>
      <c r="F54" s="91"/>
      <c r="G54" s="16"/>
    </row>
    <row r="55" spans="1:12" ht="8.15" customHeight="1">
      <c r="A55" s="79"/>
      <c r="B55" s="92"/>
      <c r="C55" s="91"/>
      <c r="D55" s="91"/>
      <c r="E55" s="91"/>
      <c r="F55" s="91"/>
      <c r="G55" s="95"/>
      <c r="I55" s="44"/>
    </row>
    <row r="56" spans="1:12" ht="35.25" customHeight="1">
      <c r="B56" s="96" t="s">
        <v>67</v>
      </c>
      <c r="C56" s="96"/>
      <c r="D56" s="96"/>
      <c r="E56" s="96"/>
      <c r="F56" s="96"/>
      <c r="G56" s="96"/>
      <c r="H56" s="89"/>
      <c r="I56" s="97"/>
      <c r="K56" s="44"/>
    </row>
    <row r="57" spans="1:12" ht="28.5" customHeight="1">
      <c r="A57" s="79"/>
      <c r="G57" s="97"/>
    </row>
    <row r="58" spans="1:12" ht="118.4" customHeight="1">
      <c r="A58" s="79"/>
      <c r="G58" s="97"/>
    </row>
    <row r="59" spans="1:12" ht="13.5" customHeight="1">
      <c r="B59" s="16"/>
      <c r="C59" s="16"/>
      <c r="F59" s="16"/>
      <c r="G59" s="98"/>
    </row>
    <row r="60" spans="1:12" ht="15" customHeight="1">
      <c r="B60" s="16"/>
      <c r="C60" s="16"/>
      <c r="D60" s="16"/>
      <c r="E60" s="16"/>
      <c r="F60" s="16"/>
      <c r="G60" s="98"/>
    </row>
    <row r="61" spans="1:12" ht="15" customHeight="1">
      <c r="B61" s="16"/>
      <c r="C61" s="16"/>
      <c r="D61" s="99"/>
      <c r="E61" s="99"/>
      <c r="F61" s="95"/>
      <c r="G61" s="98"/>
    </row>
    <row r="62" spans="1:12" ht="15" customHeight="1">
      <c r="B62" s="100"/>
      <c r="C62" s="101"/>
      <c r="D62" s="97"/>
      <c r="E62" s="97"/>
      <c r="F62" s="102"/>
    </row>
    <row r="63" spans="1:12" ht="15" customHeight="1">
      <c r="B63" s="100"/>
      <c r="C63" s="101"/>
      <c r="D63" s="97"/>
      <c r="E63" s="97"/>
      <c r="F63" s="102"/>
      <c r="G63" s="97"/>
    </row>
    <row r="64" spans="1:12" ht="15" customHeight="1">
      <c r="B64" s="100"/>
      <c r="C64" s="101"/>
      <c r="D64" s="97"/>
      <c r="E64" s="97"/>
      <c r="F64" s="102"/>
      <c r="G64" s="97"/>
      <c r="I64" s="103"/>
    </row>
    <row r="65" spans="2:9" ht="15" customHeight="1">
      <c r="B65" s="100"/>
      <c r="C65" s="101"/>
      <c r="D65" s="97"/>
      <c r="E65" s="97"/>
      <c r="F65" s="102"/>
      <c r="H65" s="103"/>
      <c r="I65" s="103"/>
    </row>
    <row r="66" spans="2:9" ht="15" customHeight="1">
      <c r="B66" s="100"/>
      <c r="C66" s="104"/>
      <c r="D66" s="97"/>
      <c r="E66" s="97"/>
      <c r="F66" s="102"/>
      <c r="H66" s="103"/>
      <c r="I66" s="103"/>
    </row>
    <row r="67" spans="2:9" ht="15" customHeight="1">
      <c r="B67" s="100"/>
      <c r="C67" s="104"/>
      <c r="D67" s="97"/>
      <c r="E67" s="97"/>
      <c r="F67" s="102"/>
      <c r="H67" s="103"/>
    </row>
    <row r="68" spans="2:9" ht="15" customHeight="1">
      <c r="B68" s="105"/>
      <c r="C68" s="104"/>
      <c r="D68" s="97"/>
      <c r="E68" s="97"/>
      <c r="F68" s="102"/>
      <c r="G68" s="97"/>
      <c r="H68" s="103"/>
    </row>
    <row r="69" spans="2:9" ht="15" customHeight="1">
      <c r="B69" s="100"/>
      <c r="C69" s="104"/>
      <c r="D69" s="97"/>
      <c r="E69" s="97"/>
      <c r="F69" s="102"/>
      <c r="H69" s="103"/>
      <c r="I69" s="103"/>
    </row>
    <row r="70" spans="2:9" ht="15" customHeight="1">
      <c r="B70" s="100"/>
      <c r="C70" s="104"/>
      <c r="D70" s="97"/>
      <c r="E70" s="97"/>
      <c r="F70" s="102"/>
      <c r="G70" s="97"/>
      <c r="I70" s="103"/>
    </row>
    <row r="71" spans="2:9" ht="15" customHeight="1">
      <c r="B71" s="100"/>
      <c r="C71" s="104"/>
      <c r="D71" s="97"/>
      <c r="E71" s="97"/>
      <c r="F71" s="102"/>
      <c r="G71" s="106"/>
    </row>
    <row r="72" spans="2:9" ht="15" customHeight="1">
      <c r="B72" s="100"/>
      <c r="C72" s="107"/>
      <c r="D72" s="97"/>
      <c r="E72" s="97"/>
      <c r="F72" s="102"/>
      <c r="G72" s="97"/>
    </row>
    <row r="73" spans="2:9" ht="15" customHeight="1">
      <c r="B73" s="100"/>
      <c r="C73" s="108"/>
      <c r="D73" s="97"/>
      <c r="E73" s="97"/>
      <c r="F73" s="102"/>
      <c r="G73" s="109"/>
    </row>
    <row r="74" spans="2:9" ht="15" customHeight="1">
      <c r="B74" s="100"/>
      <c r="C74" s="108"/>
      <c r="D74" s="97"/>
      <c r="E74" s="97"/>
      <c r="F74" s="102"/>
      <c r="G74" s="110"/>
    </row>
    <row r="75" spans="2:9" ht="15" customHeight="1">
      <c r="B75" s="100"/>
      <c r="C75" s="104"/>
      <c r="D75" s="111"/>
      <c r="E75" s="111"/>
      <c r="F75" s="102"/>
      <c r="G75" s="110"/>
    </row>
    <row r="76" spans="2:9" ht="15" customHeight="1">
      <c r="B76" s="100"/>
      <c r="C76" s="112"/>
      <c r="D76" s="97"/>
      <c r="E76" s="97"/>
      <c r="F76" s="102"/>
    </row>
    <row r="77" spans="2:9" ht="15" customHeight="1">
      <c r="B77" s="113"/>
      <c r="C77" s="112"/>
      <c r="D77" s="114"/>
      <c r="E77" s="114"/>
      <c r="F77" s="102"/>
      <c r="G77" s="115" t="s">
        <v>68</v>
      </c>
    </row>
    <row r="78" spans="2:9" ht="12" customHeight="1">
      <c r="B78" s="113"/>
      <c r="C78" s="112"/>
      <c r="D78" s="97"/>
      <c r="E78" s="97"/>
      <c r="F78" s="102"/>
    </row>
    <row r="79" spans="2:9" ht="15" customHeight="1">
      <c r="B79" s="113"/>
      <c r="C79" s="112"/>
      <c r="D79" s="109"/>
      <c r="E79" s="109"/>
      <c r="F79" s="109"/>
    </row>
    <row r="80" spans="2:9" ht="13.5" customHeight="1">
      <c r="B80" s="112"/>
      <c r="C80" s="110"/>
      <c r="D80" s="110"/>
      <c r="E80" s="110"/>
      <c r="F80" s="110"/>
      <c r="H80" s="103"/>
    </row>
    <row r="81" spans="2:6">
      <c r="B81" s="116"/>
      <c r="C81" s="110"/>
      <c r="D81" s="110"/>
      <c r="E81" s="110"/>
      <c r="F81" s="110"/>
    </row>
    <row r="82" spans="2:6" ht="11.25" customHeight="1">
      <c r="B82" s="116"/>
    </row>
    <row r="83" spans="2:6">
      <c r="B83" s="116"/>
    </row>
    <row r="86" spans="2:6">
      <c r="D86" s="117"/>
      <c r="E86" s="117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DCB7-F233-4BF2-87A5-C90B1A542464}">
  <sheetPr>
    <pageSetUpPr fitToPage="1"/>
  </sheetPr>
  <dimension ref="B1:K83"/>
  <sheetViews>
    <sheetView showGridLines="0" zoomScaleNormal="100" zoomScaleSheetLayoutView="100" workbookViewId="0"/>
  </sheetViews>
  <sheetFormatPr baseColWidth="10" defaultColWidth="11.54296875" defaultRowHeight="13.5"/>
  <cols>
    <col min="1" max="1" width="3.1796875" style="79" customWidth="1"/>
    <col min="2" max="2" width="9.453125" style="79" customWidth="1"/>
    <col min="3" max="3" width="61.81640625" style="79" customWidth="1"/>
    <col min="4" max="7" width="28.54296875" style="79" customWidth="1"/>
    <col min="8" max="8" width="3.1796875" style="79" customWidth="1"/>
    <col min="9" max="9" width="10.54296875" style="79" customWidth="1"/>
    <col min="10" max="16384" width="11.54296875" style="79"/>
  </cols>
  <sheetData>
    <row r="1" spans="2:7" ht="14.25" customHeight="1"/>
    <row r="2" spans="2:7" ht="7.5" customHeight="1" thickBot="1">
      <c r="B2" s="118"/>
      <c r="C2" s="118"/>
      <c r="D2" s="118"/>
      <c r="E2" s="118"/>
      <c r="F2" s="118"/>
      <c r="G2" s="118"/>
    </row>
    <row r="3" spans="2:7" ht="21" customHeight="1" thickBot="1">
      <c r="B3" s="7" t="s">
        <v>69</v>
      </c>
      <c r="C3" s="8"/>
      <c r="D3" s="8"/>
      <c r="E3" s="8"/>
      <c r="F3" s="8"/>
      <c r="G3" s="9"/>
    </row>
    <row r="4" spans="2:7" ht="14.25" customHeight="1">
      <c r="B4" s="10"/>
      <c r="C4" s="119" t="s">
        <v>3</v>
      </c>
      <c r="D4" s="120" t="s">
        <v>4</v>
      </c>
      <c r="E4" s="120" t="s">
        <v>5</v>
      </c>
      <c r="F4" s="13" t="s">
        <v>6</v>
      </c>
      <c r="G4" s="14" t="s">
        <v>6</v>
      </c>
    </row>
    <row r="5" spans="2:7">
      <c r="B5" s="15"/>
      <c r="C5" s="121" t="s">
        <v>7</v>
      </c>
      <c r="D5" s="122" t="s">
        <v>70</v>
      </c>
      <c r="E5" s="122" t="s">
        <v>71</v>
      </c>
      <c r="F5" s="18" t="s">
        <v>10</v>
      </c>
      <c r="G5" s="19" t="s">
        <v>10</v>
      </c>
    </row>
    <row r="6" spans="2:7" ht="14" thickBot="1">
      <c r="B6" s="123"/>
      <c r="C6" s="124"/>
      <c r="D6" s="20">
        <v>2026</v>
      </c>
      <c r="E6" s="20">
        <v>2026</v>
      </c>
      <c r="F6" s="125" t="s">
        <v>11</v>
      </c>
      <c r="G6" s="126" t="s">
        <v>12</v>
      </c>
    </row>
    <row r="7" spans="2:7" ht="20.149999999999999" customHeight="1" thickBot="1">
      <c r="B7" s="55"/>
      <c r="C7" s="74" t="s">
        <v>72</v>
      </c>
      <c r="D7" s="127"/>
      <c r="E7" s="127"/>
      <c r="F7" s="128"/>
      <c r="G7" s="129"/>
    </row>
    <row r="8" spans="2:7" ht="20.149999999999999" customHeight="1">
      <c r="B8" s="130" t="s">
        <v>14</v>
      </c>
      <c r="C8" s="131" t="s">
        <v>73</v>
      </c>
      <c r="D8" s="132">
        <v>63.769114818794137</v>
      </c>
      <c r="E8" s="132">
        <v>76.790548904301204</v>
      </c>
      <c r="F8" s="133">
        <v>13.021434085507067</v>
      </c>
      <c r="G8" s="134">
        <v>20.419656321886677</v>
      </c>
    </row>
    <row r="9" spans="2:7" ht="20.149999999999999" customHeight="1">
      <c r="B9" s="130" t="s">
        <v>14</v>
      </c>
      <c r="C9" s="131" t="s">
        <v>74</v>
      </c>
      <c r="D9" s="132">
        <v>87.017389221774181</v>
      </c>
      <c r="E9" s="132">
        <v>106.69153989558339</v>
      </c>
      <c r="F9" s="133">
        <v>19.674150673809208</v>
      </c>
      <c r="G9" s="134">
        <v>22.609447203325416</v>
      </c>
    </row>
    <row r="10" spans="2:7" ht="20.149999999999999" customHeight="1">
      <c r="B10" s="130" t="s">
        <v>14</v>
      </c>
      <c r="C10" s="131" t="s">
        <v>75</v>
      </c>
      <c r="D10" s="132">
        <v>38.564323238078153</v>
      </c>
      <c r="E10" s="132">
        <v>38.746643750866404</v>
      </c>
      <c r="F10" s="133">
        <v>0.18232051278825168</v>
      </c>
      <c r="G10" s="134">
        <v>0.47276990098514204</v>
      </c>
    </row>
    <row r="11" spans="2:7" ht="20.149999999999999" customHeight="1">
      <c r="B11" s="130" t="s">
        <v>14</v>
      </c>
      <c r="C11" s="131" t="s">
        <v>76</v>
      </c>
      <c r="D11" s="132">
        <v>40.150271731868948</v>
      </c>
      <c r="E11" s="132">
        <v>40.329367571631835</v>
      </c>
      <c r="F11" s="133">
        <v>0.17909583976288701</v>
      </c>
      <c r="G11" s="134">
        <v>0.44606382980150272</v>
      </c>
    </row>
    <row r="12" spans="2:7" ht="20.149999999999999" customHeight="1">
      <c r="B12" s="130" t="s">
        <v>14</v>
      </c>
      <c r="C12" s="131" t="s">
        <v>77</v>
      </c>
      <c r="D12" s="132">
        <v>37.898407012602043</v>
      </c>
      <c r="E12" s="132">
        <v>36.51446690998425</v>
      </c>
      <c r="F12" s="133">
        <v>-1.3839401026177924</v>
      </c>
      <c r="G12" s="134">
        <v>-3.6517104852391356</v>
      </c>
    </row>
    <row r="13" spans="2:7" ht="20.149999999999999" customHeight="1">
      <c r="B13" s="130" t="s">
        <v>14</v>
      </c>
      <c r="C13" s="131" t="s">
        <v>78</v>
      </c>
      <c r="D13" s="132">
        <v>38.134500677374866</v>
      </c>
      <c r="E13" s="132">
        <v>38.317695138606346</v>
      </c>
      <c r="F13" s="133">
        <v>0.18319446123147998</v>
      </c>
      <c r="G13" s="134">
        <v>0.48039034988642015</v>
      </c>
    </row>
    <row r="14" spans="2:7" ht="20.149999999999999" customHeight="1">
      <c r="B14" s="130" t="s">
        <v>14</v>
      </c>
      <c r="C14" s="131" t="s">
        <v>79</v>
      </c>
      <c r="D14" s="132">
        <v>32.751074677055421</v>
      </c>
      <c r="E14" s="132">
        <v>32.531317345209395</v>
      </c>
      <c r="F14" s="133">
        <v>-0.21975733184602575</v>
      </c>
      <c r="G14" s="134">
        <v>-0.6709927353925309</v>
      </c>
    </row>
    <row r="15" spans="2:7" ht="20.149999999999999" customHeight="1">
      <c r="B15" s="130" t="s">
        <v>14</v>
      </c>
      <c r="C15" s="131" t="s">
        <v>80</v>
      </c>
      <c r="D15" s="132">
        <v>44.095221807454408</v>
      </c>
      <c r="E15" s="132">
        <v>44.394077104886129</v>
      </c>
      <c r="F15" s="133">
        <v>0.29885529743172157</v>
      </c>
      <c r="G15" s="134">
        <v>0.67774984495304125</v>
      </c>
    </row>
    <row r="16" spans="2:7" ht="20.149999999999999" customHeight="1">
      <c r="B16" s="130" t="s">
        <v>14</v>
      </c>
      <c r="C16" s="131" t="s">
        <v>81</v>
      </c>
      <c r="D16" s="132">
        <v>39</v>
      </c>
      <c r="E16" s="132">
        <v>39</v>
      </c>
      <c r="F16" s="133">
        <v>0</v>
      </c>
      <c r="G16" s="134">
        <v>0</v>
      </c>
    </row>
    <row r="17" spans="2:7" ht="20.149999999999999" customHeight="1">
      <c r="B17" s="130" t="s">
        <v>14</v>
      </c>
      <c r="C17" s="131" t="s">
        <v>82</v>
      </c>
      <c r="D17" s="132">
        <v>64.063480262913572</v>
      </c>
      <c r="E17" s="132">
        <v>64.072987485610298</v>
      </c>
      <c r="F17" s="133">
        <v>9.5072226967261031E-3</v>
      </c>
      <c r="G17" s="134">
        <v>1.4840315664571335E-2</v>
      </c>
    </row>
    <row r="18" spans="2:7" ht="20.149999999999999" customHeight="1">
      <c r="B18" s="130" t="s">
        <v>14</v>
      </c>
      <c r="C18" s="131" t="s">
        <v>83</v>
      </c>
      <c r="D18" s="132">
        <v>64.068353615608984</v>
      </c>
      <c r="E18" s="132">
        <v>64.207583224378979</v>
      </c>
      <c r="F18" s="133">
        <v>0.13922960876999468</v>
      </c>
      <c r="G18" s="134">
        <v>0.21731416668723114</v>
      </c>
    </row>
    <row r="19" spans="2:7" ht="20.149999999999999" customHeight="1">
      <c r="B19" s="130" t="s">
        <v>14</v>
      </c>
      <c r="C19" s="131" t="s">
        <v>84</v>
      </c>
      <c r="D19" s="132">
        <v>65.677337014577546</v>
      </c>
      <c r="E19" s="132">
        <v>65.716739483401341</v>
      </c>
      <c r="F19" s="133">
        <v>3.9402468823794834E-2</v>
      </c>
      <c r="G19" s="134">
        <v>5.9994011046839546E-2</v>
      </c>
    </row>
    <row r="20" spans="2:7" ht="20.149999999999999" customHeight="1">
      <c r="B20" s="130" t="s">
        <v>14</v>
      </c>
      <c r="C20" s="135" t="s">
        <v>85</v>
      </c>
      <c r="D20" s="136">
        <v>68.981574157415736</v>
      </c>
      <c r="E20" s="136">
        <v>69.657747999999998</v>
      </c>
      <c r="F20" s="133">
        <v>0.67617384258426227</v>
      </c>
      <c r="G20" s="134">
        <v>0.98022385085216968</v>
      </c>
    </row>
    <row r="21" spans="2:7" ht="20.149999999999999" customHeight="1">
      <c r="B21" s="130" t="s">
        <v>14</v>
      </c>
      <c r="C21" s="135" t="s">
        <v>86</v>
      </c>
      <c r="D21" s="136">
        <v>74.477000000000004</v>
      </c>
      <c r="E21" s="136">
        <v>77.375</v>
      </c>
      <c r="F21" s="133">
        <v>2.8979999999999961</v>
      </c>
      <c r="G21" s="134">
        <v>3.8911341756515441</v>
      </c>
    </row>
    <row r="22" spans="2:7" ht="20.149999999999999" customHeight="1">
      <c r="B22" s="130" t="s">
        <v>14</v>
      </c>
      <c r="C22" s="131" t="s">
        <v>87</v>
      </c>
      <c r="D22" s="132">
        <v>79.774229403515051</v>
      </c>
      <c r="E22" s="132">
        <v>79.995785217676726</v>
      </c>
      <c r="F22" s="133">
        <v>0.22155581416167536</v>
      </c>
      <c r="G22" s="134">
        <v>0.27772855446964684</v>
      </c>
    </row>
    <row r="23" spans="2:7" ht="20.149999999999999" customHeight="1">
      <c r="B23" s="130" t="s">
        <v>14</v>
      </c>
      <c r="C23" s="131" t="s">
        <v>88</v>
      </c>
      <c r="D23" s="132">
        <v>88.432178114468073</v>
      </c>
      <c r="E23" s="132">
        <v>88.432178114468073</v>
      </c>
      <c r="F23" s="133">
        <v>0</v>
      </c>
      <c r="G23" s="137">
        <v>0</v>
      </c>
    </row>
    <row r="24" spans="2:7" ht="20.149999999999999" customHeight="1">
      <c r="B24" s="130" t="s">
        <v>14</v>
      </c>
      <c r="C24" s="131" t="s">
        <v>89</v>
      </c>
      <c r="D24" s="138">
        <v>210.58410010124933</v>
      </c>
      <c r="E24" s="138">
        <v>224.43885983394381</v>
      </c>
      <c r="F24" s="133">
        <v>13.854759732694475</v>
      </c>
      <c r="G24" s="134">
        <v>6.5792050425616537</v>
      </c>
    </row>
    <row r="25" spans="2:7" ht="20.149999999999999" customHeight="1">
      <c r="B25" s="130" t="s">
        <v>14</v>
      </c>
      <c r="C25" s="131" t="s">
        <v>90</v>
      </c>
      <c r="D25" s="138">
        <v>206</v>
      </c>
      <c r="E25" s="138">
        <v>263</v>
      </c>
      <c r="F25" s="133">
        <v>57</v>
      </c>
      <c r="G25" s="134">
        <v>27.669902912621353</v>
      </c>
    </row>
    <row r="26" spans="2:7" ht="20.149999999999999" customHeight="1" thickBot="1">
      <c r="B26" s="130" t="s">
        <v>14</v>
      </c>
      <c r="C26" s="131" t="s">
        <v>91</v>
      </c>
      <c r="D26" s="132">
        <v>60.38</v>
      </c>
      <c r="E26" s="132">
        <v>64.92</v>
      </c>
      <c r="F26" s="133">
        <v>4.5399999999999991</v>
      </c>
      <c r="G26" s="134">
        <v>7.5190460417356633</v>
      </c>
    </row>
    <row r="27" spans="2:7" ht="20.149999999999999" customHeight="1" thickBot="1">
      <c r="B27" s="55"/>
      <c r="C27" s="74" t="s">
        <v>92</v>
      </c>
      <c r="D27" s="139"/>
      <c r="E27" s="139"/>
      <c r="F27" s="140"/>
      <c r="G27" s="141"/>
    </row>
    <row r="28" spans="2:7" ht="20.149999999999999" customHeight="1">
      <c r="B28" s="142" t="s">
        <v>14</v>
      </c>
      <c r="C28" s="143" t="s">
        <v>93</v>
      </c>
      <c r="D28" s="144">
        <v>69.088525581990808</v>
      </c>
      <c r="E28" s="144">
        <v>68.671386949034229</v>
      </c>
      <c r="F28" s="145">
        <v>-0.41713863295657916</v>
      </c>
      <c r="G28" s="146">
        <v>-0.60377411363560896</v>
      </c>
    </row>
    <row r="29" spans="2:7" ht="20.149999999999999" customHeight="1">
      <c r="B29" s="147" t="s">
        <v>14</v>
      </c>
      <c r="C29" s="148" t="s">
        <v>94</v>
      </c>
      <c r="D29" s="31">
        <v>167.2072197153766</v>
      </c>
      <c r="E29" s="31">
        <v>166.27629295383548</v>
      </c>
      <c r="F29" s="145">
        <v>-0.93092676154111587</v>
      </c>
      <c r="G29" s="146">
        <v>-0.55675033836801902</v>
      </c>
    </row>
    <row r="30" spans="2:7" ht="20.149999999999999" customHeight="1">
      <c r="B30" s="147" t="s">
        <v>14</v>
      </c>
      <c r="C30" s="148" t="s">
        <v>95</v>
      </c>
      <c r="D30" s="31">
        <v>62.600126392548873</v>
      </c>
      <c r="E30" s="31">
        <v>54.233403199470906</v>
      </c>
      <c r="F30" s="145">
        <v>-8.3667231930779664</v>
      </c>
      <c r="G30" s="146">
        <v>-13.365345527599189</v>
      </c>
    </row>
    <row r="31" spans="2:7" ht="20.149999999999999" customHeight="1">
      <c r="B31" s="147" t="s">
        <v>14</v>
      </c>
      <c r="C31" s="148" t="s">
        <v>96</v>
      </c>
      <c r="D31" s="31">
        <v>113.51115662224313</v>
      </c>
      <c r="E31" s="31">
        <v>87.480346855012442</v>
      </c>
      <c r="F31" s="145">
        <v>-26.030809767230693</v>
      </c>
      <c r="G31" s="146">
        <v>-22.932379989624565</v>
      </c>
    </row>
    <row r="32" spans="2:7" ht="20.149999999999999" customHeight="1">
      <c r="B32" s="147" t="s">
        <v>14</v>
      </c>
      <c r="C32" s="148" t="s">
        <v>97</v>
      </c>
      <c r="D32" s="31">
        <v>139.04050703643355</v>
      </c>
      <c r="E32" s="31">
        <v>180.18684935880879</v>
      </c>
      <c r="F32" s="145">
        <v>41.146342322375233</v>
      </c>
      <c r="G32" s="146">
        <v>29.593061187264965</v>
      </c>
    </row>
    <row r="33" spans="2:7" ht="20.149999999999999" customHeight="1">
      <c r="B33" s="147" t="s">
        <v>14</v>
      </c>
      <c r="C33" s="148" t="s">
        <v>98</v>
      </c>
      <c r="D33" s="31">
        <v>78.8727726054654</v>
      </c>
      <c r="E33" s="31">
        <v>59.479220239713044</v>
      </c>
      <c r="F33" s="145">
        <v>-19.393552365752356</v>
      </c>
      <c r="G33" s="146">
        <v>-24.588399424934764</v>
      </c>
    </row>
    <row r="34" spans="2:7" ht="20.149999999999999" customHeight="1">
      <c r="B34" s="147" t="s">
        <v>14</v>
      </c>
      <c r="C34" s="148" t="s">
        <v>99</v>
      </c>
      <c r="D34" s="31">
        <v>37.055793658537787</v>
      </c>
      <c r="E34" s="31">
        <v>34.844600223129596</v>
      </c>
      <c r="F34" s="145">
        <v>-2.211193435408191</v>
      </c>
      <c r="G34" s="146">
        <v>-5.9672003136241614</v>
      </c>
    </row>
    <row r="35" spans="2:7" ht="20.149999999999999" customHeight="1">
      <c r="B35" s="147" t="s">
        <v>14</v>
      </c>
      <c r="C35" s="148" t="s">
        <v>100</v>
      </c>
      <c r="D35" s="31">
        <v>206.49244536135092</v>
      </c>
      <c r="E35" s="31">
        <v>206.12625764122657</v>
      </c>
      <c r="F35" s="145">
        <v>-0.3661877201243442</v>
      </c>
      <c r="G35" s="146">
        <v>-0.17733710280951698</v>
      </c>
    </row>
    <row r="36" spans="2:7" ht="20.149999999999999" customHeight="1">
      <c r="B36" s="147" t="s">
        <v>14</v>
      </c>
      <c r="C36" s="148" t="s">
        <v>101</v>
      </c>
      <c r="D36" s="31">
        <v>73.892821246600533</v>
      </c>
      <c r="E36" s="31">
        <v>89.916239836000145</v>
      </c>
      <c r="F36" s="145">
        <v>16.023418589399611</v>
      </c>
      <c r="G36" s="146">
        <v>21.684675614056047</v>
      </c>
    </row>
    <row r="37" spans="2:7" ht="20.149999999999999" customHeight="1">
      <c r="B37" s="147" t="s">
        <v>14</v>
      </c>
      <c r="C37" s="148" t="s">
        <v>102</v>
      </c>
      <c r="D37" s="31">
        <v>106.88075146928932</v>
      </c>
      <c r="E37" s="31">
        <v>100.90005257311883</v>
      </c>
      <c r="F37" s="145">
        <v>-5.9806988961704945</v>
      </c>
      <c r="G37" s="146">
        <v>-5.5956744446065727</v>
      </c>
    </row>
    <row r="38" spans="2:7" ht="20.149999999999999" customHeight="1">
      <c r="B38" s="147" t="s">
        <v>14</v>
      </c>
      <c r="C38" s="148" t="s">
        <v>103</v>
      </c>
      <c r="D38" s="31">
        <v>67.607895968085558</v>
      </c>
      <c r="E38" s="31">
        <v>68.664900232518775</v>
      </c>
      <c r="F38" s="145">
        <v>1.0570042644332176</v>
      </c>
      <c r="G38" s="146">
        <v>1.5634331601329166</v>
      </c>
    </row>
    <row r="39" spans="2:7" ht="20.149999999999999" customHeight="1">
      <c r="B39" s="147" t="s">
        <v>14</v>
      </c>
      <c r="C39" s="148" t="s">
        <v>104</v>
      </c>
      <c r="D39" s="31">
        <v>300</v>
      </c>
      <c r="E39" s="31">
        <v>308.80214024582676</v>
      </c>
      <c r="F39" s="145" t="s">
        <v>105</v>
      </c>
      <c r="G39" s="146" t="s">
        <v>105</v>
      </c>
    </row>
    <row r="40" spans="2:7" ht="20.149999999999999" customHeight="1">
      <c r="B40" s="147" t="s">
        <v>14</v>
      </c>
      <c r="C40" s="148" t="s">
        <v>106</v>
      </c>
      <c r="D40" s="31">
        <v>96.714097371699282</v>
      </c>
      <c r="E40" s="31">
        <v>105.47280516448906</v>
      </c>
      <c r="F40" s="145">
        <v>8.7587077927897781</v>
      </c>
      <c r="G40" s="146">
        <v>9.0562886185326334</v>
      </c>
    </row>
    <row r="41" spans="2:7" ht="20.149999999999999" customHeight="1">
      <c r="B41" s="147" t="s">
        <v>14</v>
      </c>
      <c r="C41" s="148" t="s">
        <v>107</v>
      </c>
      <c r="D41" s="31">
        <v>294.18616760379354</v>
      </c>
      <c r="E41" s="31">
        <v>293.96369402930299</v>
      </c>
      <c r="F41" s="145">
        <v>-0.22247357449055016</v>
      </c>
      <c r="G41" s="146">
        <v>-7.5623397355030875E-2</v>
      </c>
    </row>
    <row r="42" spans="2:7" ht="20.149999999999999" customHeight="1">
      <c r="B42" s="147" t="s">
        <v>14</v>
      </c>
      <c r="C42" s="148" t="s">
        <v>108</v>
      </c>
      <c r="D42" s="31">
        <v>144.05293316133509</v>
      </c>
      <c r="E42" s="31">
        <v>119.41634409111171</v>
      </c>
      <c r="F42" s="145">
        <v>-24.63658907022338</v>
      </c>
      <c r="G42" s="146">
        <v>-17.102455694276713</v>
      </c>
    </row>
    <row r="43" spans="2:7" ht="20.149999999999999" customHeight="1">
      <c r="B43" s="147" t="s">
        <v>14</v>
      </c>
      <c r="C43" s="148" t="s">
        <v>109</v>
      </c>
      <c r="D43" s="31">
        <v>329.83192834143404</v>
      </c>
      <c r="E43" s="31">
        <v>398.85041893641193</v>
      </c>
      <c r="F43" s="145">
        <v>69.018490594977891</v>
      </c>
      <c r="G43" s="146">
        <v>20.925351569824869</v>
      </c>
    </row>
    <row r="44" spans="2:7" ht="20.149999999999999" customHeight="1">
      <c r="B44" s="147" t="s">
        <v>14</v>
      </c>
      <c r="C44" s="148" t="s">
        <v>110</v>
      </c>
      <c r="D44" s="31">
        <v>27.514418237217754</v>
      </c>
      <c r="E44" s="31">
        <v>26.355903838296765</v>
      </c>
      <c r="F44" s="145">
        <v>-1.158514398920989</v>
      </c>
      <c r="G44" s="146">
        <v>-4.2105720314809787</v>
      </c>
    </row>
    <row r="45" spans="2:7" ht="20.149999999999999" customHeight="1">
      <c r="B45" s="147" t="s">
        <v>14</v>
      </c>
      <c r="C45" s="148" t="s">
        <v>111</v>
      </c>
      <c r="D45" s="132">
        <v>74.540321564343913</v>
      </c>
      <c r="E45" s="132">
        <v>45.359273934391574</v>
      </c>
      <c r="F45" s="145">
        <v>-29.181047629952339</v>
      </c>
      <c r="G45" s="146">
        <v>-39.148003412841433</v>
      </c>
    </row>
    <row r="46" spans="2:7" ht="20.149999999999999" customHeight="1">
      <c r="B46" s="147" t="s">
        <v>14</v>
      </c>
      <c r="C46" s="148" t="s">
        <v>112</v>
      </c>
      <c r="D46" s="31">
        <v>158.78255013779605</v>
      </c>
      <c r="E46" s="31">
        <v>194.43548594405061</v>
      </c>
      <c r="F46" s="145">
        <v>35.652935806254561</v>
      </c>
      <c r="G46" s="146">
        <v>22.453938279309597</v>
      </c>
    </row>
    <row r="47" spans="2:7" ht="20.149999999999999" customHeight="1">
      <c r="B47" s="147" t="s">
        <v>14</v>
      </c>
      <c r="C47" s="148" t="s">
        <v>113</v>
      </c>
      <c r="D47" s="31">
        <v>57.988969989977015</v>
      </c>
      <c r="E47" s="31">
        <v>57.415680679205238</v>
      </c>
      <c r="F47" s="145">
        <v>-0.57328931077177714</v>
      </c>
      <c r="G47" s="146">
        <v>-0.9886178541727304</v>
      </c>
    </row>
    <row r="48" spans="2:7" ht="20.149999999999999" customHeight="1">
      <c r="B48" s="147" t="s">
        <v>14</v>
      </c>
      <c r="C48" s="148" t="s">
        <v>114</v>
      </c>
      <c r="D48" s="31">
        <v>239.53603400460335</v>
      </c>
      <c r="E48" s="31">
        <v>282.78800586822382</v>
      </c>
      <c r="F48" s="145">
        <v>43.251971863620469</v>
      </c>
      <c r="G48" s="146">
        <v>18.05656173750846</v>
      </c>
    </row>
    <row r="49" spans="2:10" ht="20.149999999999999" customHeight="1">
      <c r="B49" s="147" t="s">
        <v>14</v>
      </c>
      <c r="C49" s="148" t="s">
        <v>115</v>
      </c>
      <c r="D49" s="31">
        <v>180.85785085918707</v>
      </c>
      <c r="E49" s="31">
        <v>212.29443549709046</v>
      </c>
      <c r="F49" s="145">
        <v>31.436584637903394</v>
      </c>
      <c r="G49" s="146">
        <v>17.381929779968132</v>
      </c>
    </row>
    <row r="50" spans="2:10" ht="20.149999999999999" customHeight="1">
      <c r="B50" s="147" t="s">
        <v>14</v>
      </c>
      <c r="C50" s="148" t="s">
        <v>116</v>
      </c>
      <c r="D50" s="31">
        <v>166.42508062388464</v>
      </c>
      <c r="E50" s="31">
        <v>177.06563524462828</v>
      </c>
      <c r="F50" s="145">
        <v>10.640554620743643</v>
      </c>
      <c r="G50" s="146">
        <v>6.3936004001650133</v>
      </c>
    </row>
    <row r="51" spans="2:10" ht="20.149999999999999" customHeight="1">
      <c r="B51" s="147" t="s">
        <v>14</v>
      </c>
      <c r="C51" s="148" t="s">
        <v>117</v>
      </c>
      <c r="D51" s="31">
        <v>40.452022166533702</v>
      </c>
      <c r="E51" s="31">
        <v>41.637906891289312</v>
      </c>
      <c r="F51" s="145">
        <v>1.1858847247556099</v>
      </c>
      <c r="G51" s="146">
        <v>2.9315832960674726</v>
      </c>
    </row>
    <row r="52" spans="2:10" ht="20.149999999999999" customHeight="1" thickBot="1">
      <c r="B52" s="149" t="s">
        <v>14</v>
      </c>
      <c r="C52" s="150" t="s">
        <v>118</v>
      </c>
      <c r="D52" s="151">
        <v>51.031078009098948</v>
      </c>
      <c r="E52" s="151">
        <v>58.05830070912409</v>
      </c>
      <c r="F52" s="152">
        <v>7.0272227000251419</v>
      </c>
      <c r="G52" s="153">
        <v>13.770476686328607</v>
      </c>
    </row>
    <row r="53" spans="2:10" ht="15" customHeight="1">
      <c r="B53" s="112" t="s">
        <v>119</v>
      </c>
      <c r="C53" s="91"/>
      <c r="F53" s="91"/>
      <c r="G53" s="91"/>
      <c r="J53" s="154"/>
    </row>
    <row r="54" spans="2:10" ht="48.75" customHeight="1">
      <c r="B54" s="155" t="s">
        <v>120</v>
      </c>
      <c r="C54" s="155"/>
      <c r="D54" s="155"/>
      <c r="E54" s="155"/>
      <c r="F54" s="155"/>
      <c r="G54" s="155"/>
    </row>
    <row r="55" spans="2:10">
      <c r="B55" s="116" t="s">
        <v>121</v>
      </c>
      <c r="D55" s="156"/>
      <c r="E55" s="156"/>
      <c r="F55" s="91"/>
      <c r="G55" s="91"/>
    </row>
    <row r="56" spans="2:10" ht="15.75" customHeight="1">
      <c r="B56" s="157"/>
      <c r="C56" s="157"/>
      <c r="D56" s="157"/>
      <c r="E56" s="157"/>
      <c r="F56" s="157"/>
      <c r="G56" s="157"/>
    </row>
    <row r="57" spans="2:10" ht="16.5" customHeight="1">
      <c r="B57" s="157"/>
      <c r="C57" s="157"/>
      <c r="D57" s="157"/>
      <c r="E57" s="157"/>
      <c r="F57" s="157"/>
      <c r="G57" s="157"/>
    </row>
    <row r="58" spans="2:10" s="91" customFormat="1" ht="20.5" customHeight="1">
      <c r="B58" s="158"/>
      <c r="C58" s="158"/>
      <c r="D58" s="158"/>
      <c r="E58" s="158"/>
      <c r="F58" s="158"/>
      <c r="G58" s="158"/>
    </row>
    <row r="59" spans="2:10" ht="56" customHeight="1">
      <c r="B59" s="159" t="s">
        <v>67</v>
      </c>
      <c r="C59" s="159"/>
      <c r="D59" s="159"/>
      <c r="E59" s="159"/>
      <c r="F59" s="159"/>
      <c r="G59" s="159"/>
    </row>
    <row r="60" spans="2:10" ht="51" customHeight="1">
      <c r="I60" s="85"/>
    </row>
    <row r="61" spans="2:10" ht="18.75" customHeight="1">
      <c r="I61" s="85"/>
    </row>
    <row r="62" spans="2:10" ht="18.75" customHeight="1">
      <c r="I62" s="85"/>
    </row>
    <row r="63" spans="2:10" ht="13.5" customHeight="1">
      <c r="I63" s="85"/>
    </row>
    <row r="64" spans="2:10" ht="15" customHeight="1">
      <c r="B64" s="160"/>
      <c r="C64" s="161"/>
      <c r="D64" s="162"/>
      <c r="E64" s="162"/>
      <c r="F64" s="160"/>
      <c r="G64" s="160"/>
    </row>
    <row r="65" spans="2:11" ht="11.25" customHeight="1">
      <c r="B65" s="160"/>
      <c r="C65" s="161"/>
      <c r="D65" s="160"/>
      <c r="E65" s="160"/>
      <c r="F65" s="160"/>
      <c r="G65" s="160"/>
    </row>
    <row r="66" spans="2:11" ht="13.5" customHeight="1">
      <c r="B66" s="160"/>
      <c r="C66" s="160"/>
      <c r="D66" s="163"/>
      <c r="E66" s="163"/>
      <c r="F66" s="164"/>
      <c r="G66" s="164"/>
    </row>
    <row r="67" spans="2:11" ht="6" customHeight="1">
      <c r="B67" s="165"/>
      <c r="C67" s="166"/>
      <c r="D67" s="167"/>
      <c r="E67" s="167"/>
      <c r="F67" s="168"/>
      <c r="G67" s="167"/>
    </row>
    <row r="68" spans="2:11" ht="15" customHeight="1">
      <c r="B68" s="165"/>
      <c r="C68" s="166"/>
      <c r="D68" s="167"/>
      <c r="E68" s="167"/>
      <c r="F68" s="168"/>
      <c r="G68" s="167"/>
    </row>
    <row r="69" spans="2:11" ht="15" customHeight="1">
      <c r="B69" s="165"/>
      <c r="C69" s="166"/>
      <c r="D69" s="167"/>
      <c r="E69" s="167"/>
      <c r="F69" s="168"/>
      <c r="G69" s="167"/>
    </row>
    <row r="70" spans="2:11" ht="15" customHeight="1">
      <c r="B70" s="165"/>
      <c r="C70" s="166"/>
      <c r="D70" s="167"/>
      <c r="E70" s="167"/>
      <c r="F70" s="168"/>
      <c r="G70" s="169"/>
    </row>
    <row r="71" spans="2:11" ht="15" customHeight="1">
      <c r="B71" s="165"/>
      <c r="C71" s="170"/>
      <c r="D71" s="167"/>
      <c r="E71" s="167"/>
      <c r="F71" s="168"/>
      <c r="I71" s="171"/>
    </row>
    <row r="72" spans="2:11" ht="15" customHeight="1">
      <c r="B72" s="165"/>
      <c r="C72" s="170"/>
      <c r="D72" s="167"/>
      <c r="E72" s="167"/>
      <c r="F72" s="168"/>
      <c r="G72" s="169"/>
      <c r="H72" s="171"/>
      <c r="I72" s="171"/>
    </row>
    <row r="73" spans="2:11" ht="15" customHeight="1">
      <c r="B73" s="172"/>
      <c r="C73" s="170"/>
      <c r="D73" s="167"/>
      <c r="E73" s="167"/>
      <c r="F73" s="168"/>
      <c r="G73" s="169"/>
      <c r="H73" s="171"/>
      <c r="I73" s="171"/>
    </row>
    <row r="74" spans="2:11" ht="15" customHeight="1">
      <c r="B74" s="165"/>
      <c r="C74" s="170"/>
      <c r="D74" s="167"/>
      <c r="E74" s="167"/>
      <c r="F74" s="168"/>
      <c r="H74" s="171"/>
      <c r="K74" s="173"/>
    </row>
    <row r="75" spans="2:11" ht="15" customHeight="1">
      <c r="B75" s="165"/>
      <c r="C75" s="170"/>
      <c r="D75" s="167"/>
      <c r="E75" s="167"/>
      <c r="F75" s="168"/>
      <c r="H75" s="171"/>
    </row>
    <row r="76" spans="2:11" ht="15" customHeight="1">
      <c r="B76" s="174"/>
      <c r="C76" s="175"/>
      <c r="D76" s="176"/>
      <c r="E76" s="176"/>
      <c r="F76" s="168"/>
    </row>
    <row r="77" spans="2:11" ht="15" customHeight="1">
      <c r="B77" s="174"/>
      <c r="C77" s="175"/>
      <c r="D77" s="167"/>
      <c r="E77" s="167"/>
      <c r="F77" s="168"/>
    </row>
    <row r="78" spans="2:11" ht="15" customHeight="1">
      <c r="B78" s="174"/>
      <c r="C78" s="175"/>
      <c r="D78" s="176"/>
      <c r="E78" s="176"/>
      <c r="F78" s="176"/>
      <c r="G78" s="173" t="s">
        <v>68</v>
      </c>
    </row>
    <row r="79" spans="2:11" ht="12" customHeight="1">
      <c r="B79" s="175"/>
      <c r="C79" s="91"/>
      <c r="D79" s="91"/>
      <c r="E79" s="91"/>
      <c r="F79" s="91"/>
      <c r="G79" s="173"/>
    </row>
    <row r="80" spans="2:11" ht="15" customHeight="1">
      <c r="B80" s="177"/>
      <c r="C80" s="91"/>
      <c r="D80" s="91"/>
      <c r="E80" s="91"/>
      <c r="F80" s="91"/>
    </row>
    <row r="81" spans="2:8" ht="13.5" customHeight="1">
      <c r="B81" s="177"/>
      <c r="H81" s="103"/>
    </row>
    <row r="82" spans="2:8">
      <c r="B82" s="178"/>
    </row>
    <row r="83" spans="2:8" ht="11.25" customHeight="1"/>
  </sheetData>
  <mergeCells count="4">
    <mergeCell ref="B3:G3"/>
    <mergeCell ref="B54:G54"/>
    <mergeCell ref="B56:G57"/>
    <mergeCell ref="B59:G59"/>
  </mergeCells>
  <conditionalFormatting sqref="F8:G26 F28:G52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7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7:G70 G72:G73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4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2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853B-A7DA-4E8D-9ED7-353B5553B3D3}">
  <sheetPr>
    <pageSetUpPr fitToPage="1"/>
  </sheetPr>
  <dimension ref="A1:K80"/>
  <sheetViews>
    <sheetView showGridLines="0" zoomScaleNormal="100" zoomScaleSheetLayoutView="80" zoomScalePageLayoutView="75" workbookViewId="0"/>
  </sheetViews>
  <sheetFormatPr baseColWidth="10" defaultColWidth="11.54296875" defaultRowHeight="10"/>
  <cols>
    <col min="1" max="1" width="1.81640625" style="117" customWidth="1"/>
    <col min="2" max="2" width="7.453125" style="117" customWidth="1"/>
    <col min="3" max="3" width="81.7265625" style="117" customWidth="1"/>
    <col min="4" max="7" width="23.7265625" style="117" customWidth="1"/>
    <col min="8" max="8" width="15.7265625" style="117" customWidth="1"/>
    <col min="9" max="16384" width="11.54296875" style="117"/>
  </cols>
  <sheetData>
    <row r="1" spans="1:8" ht="10.5" customHeight="1">
      <c r="G1" s="3"/>
    </row>
    <row r="2" spans="1:8" ht="15.65" customHeight="1">
      <c r="B2" s="5" t="s">
        <v>122</v>
      </c>
      <c r="C2" s="5"/>
      <c r="D2" s="5"/>
      <c r="E2" s="5"/>
      <c r="F2" s="5"/>
      <c r="G2" s="5"/>
    </row>
    <row r="3" spans="1:8" ht="15.65" customHeight="1" thickBot="1">
      <c r="B3" s="6"/>
      <c r="C3" s="6"/>
      <c r="D3" s="6"/>
      <c r="E3" s="6"/>
      <c r="F3" s="6"/>
      <c r="G3" s="6"/>
    </row>
    <row r="4" spans="1:8" ht="16.5" customHeight="1" thickBot="1">
      <c r="A4" s="179"/>
      <c r="B4" s="7" t="s">
        <v>123</v>
      </c>
      <c r="C4" s="8"/>
      <c r="D4" s="8"/>
      <c r="E4" s="8"/>
      <c r="F4" s="8"/>
      <c r="G4" s="9"/>
    </row>
    <row r="5" spans="1:8" ht="20.149999999999999" customHeight="1">
      <c r="B5" s="180"/>
      <c r="C5" s="119" t="s">
        <v>124</v>
      </c>
      <c r="D5" s="181" t="s">
        <v>4</v>
      </c>
      <c r="E5" s="181" t="s">
        <v>5</v>
      </c>
      <c r="F5" s="13" t="s">
        <v>6</v>
      </c>
      <c r="G5" s="14" t="s">
        <v>6</v>
      </c>
    </row>
    <row r="6" spans="1:8" ht="20.149999999999999" customHeight="1">
      <c r="B6" s="182"/>
      <c r="C6" s="121" t="s">
        <v>7</v>
      </c>
      <c r="D6" s="17" t="s">
        <v>70</v>
      </c>
      <c r="E6" s="17" t="s">
        <v>71</v>
      </c>
      <c r="F6" s="18" t="s">
        <v>10</v>
      </c>
      <c r="G6" s="19" t="s">
        <v>10</v>
      </c>
    </row>
    <row r="7" spans="1:8" ht="20.149999999999999" customHeight="1" thickBot="1">
      <c r="B7" s="183"/>
      <c r="C7" s="124"/>
      <c r="D7" s="184">
        <v>2026</v>
      </c>
      <c r="E7" s="184">
        <v>2026</v>
      </c>
      <c r="F7" s="125" t="s">
        <v>11</v>
      </c>
      <c r="G7" s="126" t="s">
        <v>12</v>
      </c>
    </row>
    <row r="8" spans="1:8" ht="20.149999999999999" customHeight="1" thickBot="1">
      <c r="B8" s="185"/>
      <c r="C8" s="186" t="s">
        <v>125</v>
      </c>
      <c r="D8" s="187"/>
      <c r="E8" s="187"/>
      <c r="F8" s="188"/>
      <c r="G8" s="189"/>
    </row>
    <row r="9" spans="1:8" ht="20.149999999999999" customHeight="1">
      <c r="B9" s="190" t="s">
        <v>14</v>
      </c>
      <c r="C9" s="191" t="s">
        <v>126</v>
      </c>
      <c r="D9" s="192">
        <v>724.14</v>
      </c>
      <c r="E9" s="192">
        <v>723.22</v>
      </c>
      <c r="F9" s="193">
        <v>-0.91999999999995907</v>
      </c>
      <c r="G9" s="194">
        <v>-0.1270472560554623</v>
      </c>
    </row>
    <row r="10" spans="1:8" ht="20.149999999999999" customHeight="1">
      <c r="B10" s="28" t="s">
        <v>14</v>
      </c>
      <c r="C10" s="29" t="s">
        <v>127</v>
      </c>
      <c r="D10" s="195">
        <v>746.59</v>
      </c>
      <c r="E10" s="195">
        <v>750.06</v>
      </c>
      <c r="F10" s="196">
        <v>3.4699999999999136</v>
      </c>
      <c r="G10" s="32">
        <v>0.46477986578979369</v>
      </c>
      <c r="H10" s="197"/>
    </row>
    <row r="11" spans="1:8" ht="20.149999999999999" customHeight="1">
      <c r="B11" s="28" t="s">
        <v>14</v>
      </c>
      <c r="C11" s="29" t="s">
        <v>128</v>
      </c>
      <c r="D11" s="195">
        <v>743.93</v>
      </c>
      <c r="E11" s="195">
        <v>738.02</v>
      </c>
      <c r="F11" s="196">
        <v>-5.9099999999999682</v>
      </c>
      <c r="G11" s="32">
        <v>-0.79442958342853842</v>
      </c>
      <c r="H11" s="197"/>
    </row>
    <row r="12" spans="1:8" ht="20.149999999999999" customHeight="1" thickBot="1">
      <c r="B12" s="28" t="s">
        <v>14</v>
      </c>
      <c r="C12" s="29" t="s">
        <v>129</v>
      </c>
      <c r="D12" s="195">
        <v>372.49</v>
      </c>
      <c r="E12" s="195">
        <v>372.05</v>
      </c>
      <c r="F12" s="198">
        <v>-0.43999999999999773</v>
      </c>
      <c r="G12" s="199">
        <v>-0.11812397648259321</v>
      </c>
    </row>
    <row r="13" spans="1:8" ht="20.149999999999999" customHeight="1" thickBot="1">
      <c r="B13" s="200"/>
      <c r="C13" s="201" t="s">
        <v>130</v>
      </c>
      <c r="D13" s="202"/>
      <c r="E13" s="202"/>
      <c r="F13" s="203"/>
      <c r="G13" s="204"/>
    </row>
    <row r="14" spans="1:8" ht="20.149999999999999" customHeight="1">
      <c r="B14" s="28" t="s">
        <v>14</v>
      </c>
      <c r="C14" s="70" t="s">
        <v>131</v>
      </c>
      <c r="D14" s="52">
        <v>1228.0999999999999</v>
      </c>
      <c r="E14" s="52">
        <v>1247.3</v>
      </c>
      <c r="F14" s="205">
        <v>19.200000000000045</v>
      </c>
      <c r="G14" s="206">
        <v>1.5633906033710616</v>
      </c>
      <c r="H14" s="207"/>
    </row>
    <row r="15" spans="1:8" ht="20.149999999999999" customHeight="1" thickBot="1">
      <c r="B15" s="28" t="s">
        <v>14</v>
      </c>
      <c r="C15" s="70" t="s">
        <v>132</v>
      </c>
      <c r="D15" s="30">
        <v>1038.4000000000001</v>
      </c>
      <c r="E15" s="30">
        <v>1186</v>
      </c>
      <c r="F15" s="31">
        <v>147.59999999999991</v>
      </c>
      <c r="G15" s="199">
        <v>14.214175654853605</v>
      </c>
      <c r="H15" s="208"/>
    </row>
    <row r="16" spans="1:8" ht="20.149999999999999" customHeight="1" thickBot="1">
      <c r="B16" s="200"/>
      <c r="C16" s="209" t="s">
        <v>133</v>
      </c>
      <c r="D16" s="202"/>
      <c r="E16" s="202"/>
      <c r="F16" s="202"/>
      <c r="G16" s="204"/>
    </row>
    <row r="17" spans="2:9" ht="20.149999999999999" customHeight="1">
      <c r="B17" s="37" t="s">
        <v>14</v>
      </c>
      <c r="C17" s="70" t="s">
        <v>134</v>
      </c>
      <c r="D17" s="39">
        <v>157.22999999999999</v>
      </c>
      <c r="E17" s="39">
        <v>160.93</v>
      </c>
      <c r="F17" s="144">
        <v>3.7000000000000171</v>
      </c>
      <c r="G17" s="199">
        <v>2.353240475736186</v>
      </c>
    </row>
    <row r="18" spans="2:9" ht="20.149999999999999" customHeight="1">
      <c r="B18" s="28" t="s">
        <v>14</v>
      </c>
      <c r="C18" s="70" t="s">
        <v>135</v>
      </c>
      <c r="D18" s="39">
        <v>152.1</v>
      </c>
      <c r="E18" s="39">
        <v>158.03</v>
      </c>
      <c r="F18" s="31">
        <v>5.9300000000000068</v>
      </c>
      <c r="G18" s="32">
        <v>3.8987508218277469</v>
      </c>
      <c r="H18" s="79"/>
    </row>
    <row r="19" spans="2:9" ht="20.149999999999999" customHeight="1">
      <c r="B19" s="28" t="s">
        <v>14</v>
      </c>
      <c r="C19" s="70" t="s">
        <v>136</v>
      </c>
      <c r="D19" s="39">
        <v>159.13</v>
      </c>
      <c r="E19" s="39">
        <v>161.79</v>
      </c>
      <c r="F19" s="31">
        <v>2.6599999999999966</v>
      </c>
      <c r="G19" s="32">
        <v>1.6715892666373406</v>
      </c>
    </row>
    <row r="20" spans="2:9" ht="20.149999999999999" customHeight="1">
      <c r="B20" s="28" t="s">
        <v>14</v>
      </c>
      <c r="C20" s="70" t="s">
        <v>137</v>
      </c>
      <c r="D20" s="39">
        <v>159.63999999999999</v>
      </c>
      <c r="E20" s="39">
        <v>162.91999999999999</v>
      </c>
      <c r="F20" s="210">
        <v>3.2800000000000011</v>
      </c>
      <c r="G20" s="32">
        <v>2.0546229015284325</v>
      </c>
      <c r="H20" s="211"/>
      <c r="I20" s="207"/>
    </row>
    <row r="21" spans="2:9" ht="20.149999999999999" customHeight="1" thickBot="1">
      <c r="B21" s="28" t="s">
        <v>14</v>
      </c>
      <c r="C21" s="212" t="s">
        <v>138</v>
      </c>
      <c r="D21" s="39">
        <v>70.260000000000005</v>
      </c>
      <c r="E21" s="39">
        <v>70.55</v>
      </c>
      <c r="F21" s="151">
        <v>0.28999999999999204</v>
      </c>
      <c r="G21" s="32">
        <v>0.41275263307713317</v>
      </c>
      <c r="H21" s="211"/>
      <c r="I21" s="208"/>
    </row>
    <row r="22" spans="2:9" ht="20.149999999999999" customHeight="1" thickBot="1">
      <c r="B22" s="200"/>
      <c r="C22" s="209" t="s">
        <v>139</v>
      </c>
      <c r="D22" s="202"/>
      <c r="E22" s="202"/>
      <c r="F22" s="202"/>
      <c r="G22" s="213"/>
    </row>
    <row r="23" spans="2:9" ht="20.149999999999999" customHeight="1">
      <c r="B23" s="214" t="s">
        <v>140</v>
      </c>
      <c r="C23" s="215" t="s">
        <v>141</v>
      </c>
      <c r="D23" s="31">
        <v>224.61</v>
      </c>
      <c r="E23" s="31">
        <v>224.51</v>
      </c>
      <c r="F23" s="196">
        <v>-0.10000000000002274</v>
      </c>
      <c r="G23" s="216">
        <v>-4.4521615244207169E-2</v>
      </c>
    </row>
    <row r="24" spans="2:9" ht="20.149999999999999" customHeight="1">
      <c r="B24" s="214" t="s">
        <v>140</v>
      </c>
      <c r="C24" s="215" t="s">
        <v>142</v>
      </c>
      <c r="D24" s="31">
        <v>214.8</v>
      </c>
      <c r="E24" s="31">
        <v>215.36</v>
      </c>
      <c r="F24" s="196">
        <v>0.56000000000000227</v>
      </c>
      <c r="G24" s="216">
        <v>0.26070763500931093</v>
      </c>
    </row>
    <row r="25" spans="2:9" ht="20.149999999999999" customHeight="1">
      <c r="B25" s="214" t="s">
        <v>140</v>
      </c>
      <c r="C25" s="215" t="s">
        <v>143</v>
      </c>
      <c r="D25" s="31">
        <v>225.12</v>
      </c>
      <c r="E25" s="31">
        <v>224.99</v>
      </c>
      <c r="F25" s="196">
        <v>-0.12999999999999545</v>
      </c>
      <c r="G25" s="216">
        <v>-5.7746979388767272E-2</v>
      </c>
    </row>
    <row r="26" spans="2:9" ht="20.149999999999999" customHeight="1">
      <c r="B26" s="214" t="s">
        <v>140</v>
      </c>
      <c r="C26" s="215" t="s">
        <v>144</v>
      </c>
      <c r="D26" s="31">
        <v>221.31</v>
      </c>
      <c r="E26" s="31">
        <v>221.33</v>
      </c>
      <c r="F26" s="196">
        <v>2.0000000000010232E-2</v>
      </c>
      <c r="G26" s="216">
        <v>9.0370972843487607E-3</v>
      </c>
    </row>
    <row r="27" spans="2:9" ht="20.149999999999999" customHeight="1" thickBot="1">
      <c r="B27" s="214" t="s">
        <v>140</v>
      </c>
      <c r="C27" s="215" t="s">
        <v>145</v>
      </c>
      <c r="D27" s="31">
        <v>495.35</v>
      </c>
      <c r="E27" s="31">
        <v>494.94</v>
      </c>
      <c r="F27" s="196">
        <v>-0.41000000000002501</v>
      </c>
      <c r="G27" s="216">
        <v>-8.2769758756441547E-2</v>
      </c>
    </row>
    <row r="28" spans="2:9" ht="20.149999999999999" customHeight="1" thickBot="1">
      <c r="B28" s="200"/>
      <c r="C28" s="217" t="s">
        <v>146</v>
      </c>
      <c r="D28" s="202"/>
      <c r="E28" s="202"/>
      <c r="F28" s="202"/>
      <c r="G28" s="213"/>
    </row>
    <row r="29" spans="2:9" ht="20.149999999999999" customHeight="1">
      <c r="B29" s="214" t="s">
        <v>24</v>
      </c>
      <c r="C29" s="215" t="s">
        <v>147</v>
      </c>
      <c r="D29" s="31">
        <v>313.29000000000002</v>
      </c>
      <c r="E29" s="31">
        <v>313.14999999999998</v>
      </c>
      <c r="F29" s="193">
        <v>-0.1400000000000432</v>
      </c>
      <c r="G29" s="216">
        <v>-4.4687031185176807E-2</v>
      </c>
    </row>
    <row r="30" spans="2:9" ht="20.149999999999999" customHeight="1">
      <c r="B30" s="214" t="s">
        <v>24</v>
      </c>
      <c r="C30" s="215" t="s">
        <v>148</v>
      </c>
      <c r="D30" s="31">
        <v>2.4300000000000002</v>
      </c>
      <c r="E30" s="31">
        <v>2.4300000000000002</v>
      </c>
      <c r="F30" s="196">
        <v>0</v>
      </c>
      <c r="G30" s="216">
        <v>0</v>
      </c>
    </row>
    <row r="31" spans="2:9" ht="20.149999999999999" customHeight="1">
      <c r="B31" s="214" t="s">
        <v>24</v>
      </c>
      <c r="C31" s="215" t="s">
        <v>149</v>
      </c>
      <c r="D31" s="31">
        <v>2.31</v>
      </c>
      <c r="E31" s="31">
        <v>2.2999999999999998</v>
      </c>
      <c r="F31" s="196">
        <v>-1.0000000000000231E-2</v>
      </c>
      <c r="G31" s="216">
        <v>-0.43290043290045332</v>
      </c>
    </row>
    <row r="32" spans="2:9" ht="20.149999999999999" customHeight="1">
      <c r="B32" s="214" t="s">
        <v>24</v>
      </c>
      <c r="C32" s="215" t="s">
        <v>150</v>
      </c>
      <c r="D32" s="31">
        <v>324.07</v>
      </c>
      <c r="E32" s="31">
        <v>324.07</v>
      </c>
      <c r="F32" s="31">
        <v>0</v>
      </c>
      <c r="G32" s="216">
        <v>0</v>
      </c>
    </row>
    <row r="33" spans="2:11" ht="20.149999999999999" customHeight="1">
      <c r="B33" s="214" t="s">
        <v>24</v>
      </c>
      <c r="C33" s="215" t="s">
        <v>151</v>
      </c>
      <c r="D33" s="31">
        <v>2.52</v>
      </c>
      <c r="E33" s="31">
        <v>2.52</v>
      </c>
      <c r="F33" s="196">
        <v>0</v>
      </c>
      <c r="G33" s="216">
        <v>0</v>
      </c>
    </row>
    <row r="34" spans="2:11" ht="20.149999999999999" customHeight="1">
      <c r="B34" s="214" t="s">
        <v>24</v>
      </c>
      <c r="C34" s="215" t="s">
        <v>152</v>
      </c>
      <c r="D34" s="31">
        <v>2.38</v>
      </c>
      <c r="E34" s="31">
        <v>2.38</v>
      </c>
      <c r="F34" s="196">
        <v>0</v>
      </c>
      <c r="G34" s="216">
        <v>0</v>
      </c>
    </row>
    <row r="35" spans="2:11" ht="20.149999999999999" customHeight="1">
      <c r="B35" s="214" t="s">
        <v>24</v>
      </c>
      <c r="C35" s="215" t="s">
        <v>153</v>
      </c>
      <c r="D35" s="31">
        <v>321.35000000000002</v>
      </c>
      <c r="E35" s="31">
        <v>321.14999999999998</v>
      </c>
      <c r="F35" s="31">
        <v>-0.20000000000004547</v>
      </c>
      <c r="G35" s="216">
        <v>-6.2237435817664277E-2</v>
      </c>
    </row>
    <row r="36" spans="2:11" ht="20.149999999999999" customHeight="1">
      <c r="B36" s="214" t="s">
        <v>24</v>
      </c>
      <c r="C36" s="215" t="s">
        <v>154</v>
      </c>
      <c r="D36" s="31">
        <v>2.4300000000000002</v>
      </c>
      <c r="E36" s="31">
        <v>2.4300000000000002</v>
      </c>
      <c r="F36" s="196">
        <v>0</v>
      </c>
      <c r="G36" s="216">
        <v>0</v>
      </c>
    </row>
    <row r="37" spans="2:11" ht="20.149999999999999" customHeight="1">
      <c r="B37" s="214" t="s">
        <v>24</v>
      </c>
      <c r="C37" s="215" t="s">
        <v>155</v>
      </c>
      <c r="D37" s="31">
        <v>416.39</v>
      </c>
      <c r="E37" s="31">
        <v>416.39</v>
      </c>
      <c r="F37" s="196">
        <v>0</v>
      </c>
      <c r="G37" s="216">
        <v>0</v>
      </c>
    </row>
    <row r="38" spans="2:11" ht="20.149999999999999" customHeight="1">
      <c r="B38" s="214" t="s">
        <v>24</v>
      </c>
      <c r="C38" s="218" t="s">
        <v>156</v>
      </c>
      <c r="D38" s="31">
        <v>3.17</v>
      </c>
      <c r="E38" s="31">
        <v>3.17</v>
      </c>
      <c r="F38" s="196">
        <v>0</v>
      </c>
      <c r="G38" s="216">
        <v>0</v>
      </c>
    </row>
    <row r="39" spans="2:11" ht="20.149999999999999" customHeight="1" thickBot="1">
      <c r="B39" s="214" t="s">
        <v>24</v>
      </c>
      <c r="C39" s="219" t="s">
        <v>157</v>
      </c>
      <c r="D39" s="31">
        <v>3.12</v>
      </c>
      <c r="E39" s="31">
        <v>3.12</v>
      </c>
      <c r="F39" s="196">
        <v>0</v>
      </c>
      <c r="G39" s="216">
        <v>0</v>
      </c>
    </row>
    <row r="40" spans="2:11" ht="20.149999999999999" customHeight="1" thickBot="1">
      <c r="B40" s="200"/>
      <c r="C40" s="209" t="s">
        <v>158</v>
      </c>
      <c r="D40" s="202"/>
      <c r="E40" s="202"/>
      <c r="F40" s="202"/>
      <c r="G40" s="213"/>
      <c r="K40" s="220"/>
    </row>
    <row r="41" spans="2:11" ht="20.149999999999999" customHeight="1" thickBot="1">
      <c r="B41" s="147" t="s">
        <v>28</v>
      </c>
      <c r="C41" s="219" t="s">
        <v>159</v>
      </c>
      <c r="D41" s="31">
        <v>243.76</v>
      </c>
      <c r="E41" s="31">
        <v>243.04</v>
      </c>
      <c r="F41" s="221">
        <v>-0.71999999999999886</v>
      </c>
      <c r="G41" s="216">
        <v>-0.29537249753856543</v>
      </c>
    </row>
    <row r="42" spans="2:11" ht="20.149999999999999" customHeight="1" thickBot="1">
      <c r="B42" s="222"/>
      <c r="C42" s="209" t="s">
        <v>160</v>
      </c>
      <c r="D42" s="202"/>
      <c r="E42" s="202"/>
      <c r="F42" s="202"/>
      <c r="G42" s="213"/>
      <c r="K42" s="223"/>
    </row>
    <row r="43" spans="2:11" ht="20.149999999999999" customHeight="1">
      <c r="B43" s="224" t="s">
        <v>45</v>
      </c>
      <c r="C43" s="225" t="s">
        <v>161</v>
      </c>
      <c r="D43" s="226">
        <v>98.52</v>
      </c>
      <c r="E43" s="226">
        <v>116.71</v>
      </c>
      <c r="F43" s="226">
        <v>18.189999999999998</v>
      </c>
      <c r="G43" s="227">
        <v>18.463256191636219</v>
      </c>
    </row>
    <row r="44" spans="2:11" ht="20.149999999999999" customHeight="1">
      <c r="B44" s="228" t="s">
        <v>45</v>
      </c>
      <c r="C44" s="229" t="s">
        <v>162</v>
      </c>
      <c r="D44" s="230">
        <v>697.46</v>
      </c>
      <c r="E44" s="230">
        <v>651.54</v>
      </c>
      <c r="F44" s="196">
        <v>-45.920000000000073</v>
      </c>
      <c r="G44" s="216">
        <v>-6.5838901155621841</v>
      </c>
    </row>
    <row r="45" spans="2:11" ht="20.149999999999999" customHeight="1" thickBot="1">
      <c r="B45" s="228" t="s">
        <v>45</v>
      </c>
      <c r="C45" s="229" t="s">
        <v>163</v>
      </c>
      <c r="D45" s="230">
        <v>160.25</v>
      </c>
      <c r="E45" s="230">
        <v>142.5</v>
      </c>
      <c r="F45" s="231">
        <v>-17.75</v>
      </c>
      <c r="G45" s="232">
        <v>-11.076443057722315</v>
      </c>
    </row>
    <row r="46" spans="2:11" ht="20.149999999999999" customHeight="1" thickBot="1">
      <c r="B46" s="233"/>
      <c r="C46" s="209" t="s">
        <v>164</v>
      </c>
      <c r="D46" s="202"/>
      <c r="E46" s="202"/>
      <c r="F46" s="234"/>
      <c r="G46" s="213"/>
    </row>
    <row r="47" spans="2:11" ht="20.149999999999999" customHeight="1">
      <c r="B47" s="224" t="s">
        <v>49</v>
      </c>
      <c r="C47" s="235" t="s">
        <v>165</v>
      </c>
      <c r="D47" s="236" t="s">
        <v>166</v>
      </c>
      <c r="E47" s="237"/>
      <c r="F47" s="237"/>
      <c r="G47" s="238"/>
    </row>
    <row r="48" spans="2:11" ht="20.149999999999999" customHeight="1">
      <c r="B48" s="239" t="s">
        <v>49</v>
      </c>
      <c r="C48" s="240" t="s">
        <v>167</v>
      </c>
      <c r="D48" s="241" t="s">
        <v>168</v>
      </c>
      <c r="E48" s="242"/>
      <c r="F48" s="242"/>
      <c r="G48" s="243"/>
    </row>
    <row r="49" spans="2:8" ht="20.149999999999999" customHeight="1">
      <c r="B49" s="239" t="s">
        <v>49</v>
      </c>
      <c r="C49" s="240" t="s">
        <v>169</v>
      </c>
      <c r="D49" s="241" t="s">
        <v>170</v>
      </c>
      <c r="E49" s="242"/>
      <c r="F49" s="242"/>
      <c r="G49" s="243"/>
    </row>
    <row r="50" spans="2:8" ht="20.149999999999999" customHeight="1" thickBot="1">
      <c r="B50" s="149" t="s">
        <v>49</v>
      </c>
      <c r="C50" s="244" t="s">
        <v>171</v>
      </c>
      <c r="D50" s="245" t="s">
        <v>172</v>
      </c>
      <c r="E50" s="246"/>
      <c r="F50" s="246"/>
      <c r="G50" s="247"/>
    </row>
    <row r="51" spans="2:8" ht="13.5">
      <c r="B51" s="248" t="s">
        <v>119</v>
      </c>
      <c r="C51" s="249"/>
      <c r="D51" s="249"/>
      <c r="E51" s="249"/>
      <c r="F51" s="249"/>
      <c r="G51" s="250"/>
    </row>
    <row r="52" spans="2:8" ht="13.5">
      <c r="B52" s="116" t="s">
        <v>173</v>
      </c>
      <c r="C52" s="110"/>
      <c r="D52" s="110"/>
      <c r="E52" s="110"/>
      <c r="F52" s="110"/>
      <c r="G52" s="179"/>
    </row>
    <row r="53" spans="2:8" ht="12" customHeight="1">
      <c r="B53" s="116" t="s">
        <v>174</v>
      </c>
      <c r="C53" s="110"/>
      <c r="D53" s="110"/>
      <c r="E53" s="110"/>
      <c r="F53" s="110"/>
      <c r="G53" s="179"/>
    </row>
    <row r="54" spans="2:8" ht="19.899999999999999" customHeight="1">
      <c r="B54" s="116"/>
      <c r="C54" s="110"/>
      <c r="D54" s="110"/>
      <c r="E54" s="110"/>
      <c r="F54" s="110"/>
      <c r="G54" s="179"/>
    </row>
    <row r="55" spans="2:8" ht="24.75" customHeight="1">
      <c r="B55" s="96" t="s">
        <v>67</v>
      </c>
      <c r="C55" s="96"/>
      <c r="D55" s="96"/>
      <c r="E55" s="96"/>
      <c r="F55" s="96"/>
      <c r="G55" s="96"/>
    </row>
    <row r="56" spans="2:8" ht="36" customHeight="1">
      <c r="B56" s="110"/>
    </row>
    <row r="57" spans="2:8" ht="15" customHeight="1"/>
    <row r="58" spans="2:8" ht="15" customHeight="1"/>
    <row r="59" spans="2:8" ht="15" customHeight="1"/>
    <row r="60" spans="2:8" ht="71.25" customHeight="1">
      <c r="H60" s="251"/>
    </row>
    <row r="61" spans="2:8" ht="39" customHeight="1">
      <c r="H61" s="251"/>
    </row>
    <row r="62" spans="2:8" ht="18.75" customHeight="1">
      <c r="H62" s="251"/>
    </row>
    <row r="63" spans="2:8" ht="18.75" customHeight="1">
      <c r="H63" s="251"/>
    </row>
    <row r="64" spans="2:8" ht="13.5" customHeight="1">
      <c r="H64" s="251"/>
    </row>
    <row r="65" spans="2:7" ht="15" customHeight="1">
      <c r="B65" s="252"/>
      <c r="C65" s="252"/>
      <c r="F65" s="252"/>
      <c r="G65" s="252"/>
    </row>
    <row r="66" spans="2:7" ht="11.25" customHeight="1">
      <c r="B66" s="252"/>
      <c r="C66" s="252"/>
      <c r="D66" s="252"/>
      <c r="E66" s="252"/>
      <c r="F66" s="252"/>
    </row>
    <row r="67" spans="2:7" ht="13.5" customHeight="1">
      <c r="B67" s="252"/>
      <c r="C67" s="252"/>
      <c r="D67" s="253"/>
      <c r="E67" s="253"/>
      <c r="F67" s="254"/>
      <c r="G67" s="254"/>
    </row>
    <row r="68" spans="2:7" ht="15" customHeight="1">
      <c r="B68" s="255"/>
      <c r="C68" s="256"/>
      <c r="D68" s="257"/>
      <c r="E68" s="257"/>
      <c r="F68" s="258"/>
      <c r="G68" s="257"/>
    </row>
    <row r="69" spans="2:7" ht="15" customHeight="1">
      <c r="B69" s="255"/>
      <c r="C69" s="256"/>
      <c r="D69" s="257"/>
      <c r="E69" s="257"/>
      <c r="F69" s="258"/>
      <c r="G69" s="257"/>
    </row>
    <row r="70" spans="2:7" ht="15" customHeight="1">
      <c r="B70" s="255"/>
      <c r="C70" s="256"/>
      <c r="D70" s="257"/>
      <c r="E70" s="257"/>
      <c r="F70" s="258"/>
      <c r="G70" s="257"/>
    </row>
    <row r="71" spans="2:7" ht="15" customHeight="1">
      <c r="B71" s="255"/>
      <c r="C71" s="256"/>
      <c r="D71" s="257"/>
      <c r="E71" s="257"/>
      <c r="F71" s="258"/>
    </row>
    <row r="72" spans="2:7" ht="12" customHeight="1"/>
    <row r="73" spans="2:7" ht="23.25" customHeight="1">
      <c r="G73" s="115" t="s">
        <v>68</v>
      </c>
    </row>
    <row r="80" spans="2:7">
      <c r="G80" s="173"/>
    </row>
  </sheetData>
  <mergeCells count="7">
    <mergeCell ref="B55:G55"/>
    <mergeCell ref="B2:G2"/>
    <mergeCell ref="B4:G4"/>
    <mergeCell ref="D47:G47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8:G70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0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5E14-8F93-4E39-A086-058FFF668D1F}">
  <sheetPr>
    <pageSetUpPr fitToPage="1"/>
  </sheetPr>
  <dimension ref="B1:G36"/>
  <sheetViews>
    <sheetView showGridLines="0" topLeftCell="A4" zoomScaleNormal="100" zoomScaleSheetLayoutView="100" workbookViewId="0">
      <selection activeCell="A4" sqref="A4"/>
    </sheetView>
  </sheetViews>
  <sheetFormatPr baseColWidth="10" defaultColWidth="13.1796875" defaultRowHeight="11.5"/>
  <cols>
    <col min="1" max="1" width="3.81640625" style="259" customWidth="1"/>
    <col min="2" max="2" width="49" style="259" customWidth="1"/>
    <col min="3" max="3" width="40.54296875" style="259" customWidth="1"/>
    <col min="4" max="6" width="23" style="259" customWidth="1"/>
    <col min="7" max="7" width="9.26953125" style="259" customWidth="1"/>
    <col min="8" max="16384" width="13.1796875" style="259"/>
  </cols>
  <sheetData>
    <row r="1" spans="2:7" ht="12" customHeight="1">
      <c r="G1" s="260"/>
    </row>
    <row r="2" spans="2:7" ht="36.75" customHeight="1">
      <c r="B2" s="261" t="s">
        <v>175</v>
      </c>
      <c r="C2" s="261"/>
      <c r="D2" s="261"/>
      <c r="E2" s="261"/>
      <c r="F2" s="261"/>
    </row>
    <row r="3" spans="2:7" ht="8.25" customHeight="1">
      <c r="B3" s="262"/>
      <c r="C3" s="262"/>
      <c r="D3" s="262"/>
      <c r="E3" s="262"/>
      <c r="F3" s="262"/>
    </row>
    <row r="4" spans="2:7" ht="30.75" customHeight="1">
      <c r="B4" s="5" t="s">
        <v>176</v>
      </c>
      <c r="C4" s="5"/>
      <c r="D4" s="5"/>
      <c r="E4" s="5"/>
      <c r="F4" s="5"/>
    </row>
    <row r="5" spans="2:7" ht="8.25" customHeight="1" thickBot="1">
      <c r="B5" s="6"/>
      <c r="C5" s="6"/>
      <c r="D5" s="6"/>
      <c r="E5" s="6"/>
      <c r="F5" s="6"/>
    </row>
    <row r="6" spans="2:7" ht="20.149999999999999" customHeight="1" thickBot="1">
      <c r="B6" s="7" t="s">
        <v>177</v>
      </c>
      <c r="C6" s="8"/>
      <c r="D6" s="8"/>
      <c r="E6" s="8"/>
      <c r="F6" s="9"/>
    </row>
    <row r="7" spans="2:7" ht="12" customHeight="1">
      <c r="B7" s="263" t="s">
        <v>178</v>
      </c>
      <c r="C7" s="263"/>
      <c r="D7" s="263"/>
      <c r="E7" s="263"/>
      <c r="F7" s="263"/>
      <c r="G7" s="264"/>
    </row>
    <row r="8" spans="2:7" ht="20.149999999999999" customHeight="1">
      <c r="B8" s="265" t="s">
        <v>179</v>
      </c>
      <c r="C8" s="265"/>
      <c r="D8" s="265"/>
      <c r="E8" s="265"/>
      <c r="F8" s="265"/>
      <c r="G8" s="264"/>
    </row>
    <row r="9" spans="2:7" ht="11.25" customHeight="1">
      <c r="B9" s="266" t="s">
        <v>180</v>
      </c>
      <c r="C9" s="266"/>
      <c r="D9" s="266"/>
      <c r="E9" s="266"/>
      <c r="F9" s="266"/>
    </row>
    <row r="10" spans="2:7" ht="11.25" customHeight="1">
      <c r="B10" s="266"/>
      <c r="C10" s="266"/>
      <c r="D10" s="266"/>
      <c r="E10" s="266"/>
      <c r="F10" s="266"/>
    </row>
    <row r="11" spans="2:7" ht="11.25" customHeight="1">
      <c r="B11" s="266" t="s">
        <v>181</v>
      </c>
      <c r="C11" s="266"/>
      <c r="D11" s="266"/>
      <c r="E11" s="266"/>
      <c r="F11" s="266"/>
    </row>
    <row r="12" spans="2:7" ht="11.25" customHeight="1" thickBot="1">
      <c r="B12" s="266"/>
      <c r="C12" s="266"/>
      <c r="D12" s="266"/>
      <c r="E12" s="266"/>
      <c r="F12" s="266"/>
    </row>
    <row r="13" spans="2:7" ht="39" customHeight="1" thickBot="1">
      <c r="B13" s="267" t="s">
        <v>182</v>
      </c>
      <c r="C13" s="268" t="s">
        <v>183</v>
      </c>
      <c r="D13" s="268" t="s">
        <v>184</v>
      </c>
      <c r="E13" s="268" t="s">
        <v>185</v>
      </c>
      <c r="F13" s="268" t="s">
        <v>186</v>
      </c>
    </row>
    <row r="14" spans="2:7" ht="15" customHeight="1">
      <c r="B14" s="269" t="s">
        <v>187</v>
      </c>
      <c r="C14" s="270" t="s">
        <v>188</v>
      </c>
      <c r="D14" s="271">
        <v>234.6</v>
      </c>
      <c r="E14" s="271">
        <v>233.8</v>
      </c>
      <c r="F14" s="272">
        <v>-0.8</v>
      </c>
    </row>
    <row r="15" spans="2:7" ht="15" customHeight="1">
      <c r="B15" s="273"/>
      <c r="C15" s="270" t="s">
        <v>189</v>
      </c>
      <c r="D15" s="271">
        <v>240.4</v>
      </c>
      <c r="E15" s="271">
        <v>240</v>
      </c>
      <c r="F15" s="272">
        <v>-0.4</v>
      </c>
    </row>
    <row r="16" spans="2:7" ht="15" customHeight="1">
      <c r="B16" s="273"/>
      <c r="C16" s="270" t="s">
        <v>190</v>
      </c>
      <c r="D16" s="271">
        <v>231</v>
      </c>
      <c r="E16" s="271">
        <v>231</v>
      </c>
      <c r="F16" s="272">
        <v>0</v>
      </c>
    </row>
    <row r="17" spans="2:6" ht="15" customHeight="1">
      <c r="B17" s="273"/>
      <c r="C17" s="270" t="s">
        <v>191</v>
      </c>
      <c r="D17" s="271">
        <v>226</v>
      </c>
      <c r="E17" s="271">
        <v>225</v>
      </c>
      <c r="F17" s="272">
        <v>-1</v>
      </c>
    </row>
    <row r="18" spans="2:6" ht="15" customHeight="1">
      <c r="B18" s="273"/>
      <c r="C18" s="270" t="s">
        <v>192</v>
      </c>
      <c r="D18" s="271">
        <v>234.6</v>
      </c>
      <c r="E18" s="271">
        <v>233.8</v>
      </c>
      <c r="F18" s="272">
        <v>-0.8</v>
      </c>
    </row>
    <row r="19" spans="2:6" ht="15" customHeight="1" thickBot="1">
      <c r="B19" s="274"/>
      <c r="C19" s="275" t="s">
        <v>193</v>
      </c>
      <c r="D19" s="276">
        <v>236</v>
      </c>
      <c r="E19" s="276">
        <v>235.2</v>
      </c>
      <c r="F19" s="277">
        <v>-0.8</v>
      </c>
    </row>
    <row r="20" spans="2:6" ht="15" customHeight="1">
      <c r="B20" s="269" t="s">
        <v>194</v>
      </c>
      <c r="C20" s="270" t="s">
        <v>195</v>
      </c>
      <c r="D20" s="271">
        <v>206.88</v>
      </c>
      <c r="E20" s="271">
        <v>205.28</v>
      </c>
      <c r="F20" s="272">
        <v>-1.6</v>
      </c>
    </row>
    <row r="21" spans="2:6" ht="15" customHeight="1">
      <c r="B21" s="273"/>
      <c r="C21" s="270" t="s">
        <v>188</v>
      </c>
      <c r="D21" s="271">
        <v>226.2</v>
      </c>
      <c r="E21" s="271">
        <v>225.4</v>
      </c>
      <c r="F21" s="272">
        <v>-0.8</v>
      </c>
    </row>
    <row r="22" spans="2:6" ht="15" customHeight="1">
      <c r="B22" s="273"/>
      <c r="C22" s="270" t="s">
        <v>189</v>
      </c>
      <c r="D22" s="271">
        <v>231.4</v>
      </c>
      <c r="E22" s="271">
        <v>231</v>
      </c>
      <c r="F22" s="272">
        <v>-0.4</v>
      </c>
    </row>
    <row r="23" spans="2:6" ht="15" customHeight="1">
      <c r="B23" s="273"/>
      <c r="C23" s="270" t="s">
        <v>196</v>
      </c>
      <c r="D23" s="271">
        <v>226.3</v>
      </c>
      <c r="E23" s="271">
        <v>224.02</v>
      </c>
      <c r="F23" s="272">
        <v>-2.2799999999999998</v>
      </c>
    </row>
    <row r="24" spans="2:6" ht="15" customHeight="1">
      <c r="B24" s="273"/>
      <c r="C24" s="270" t="s">
        <v>197</v>
      </c>
      <c r="D24" s="271">
        <v>207.15</v>
      </c>
      <c r="E24" s="271">
        <v>205.3</v>
      </c>
      <c r="F24" s="272">
        <v>-1.85</v>
      </c>
    </row>
    <row r="25" spans="2:6" ht="15" customHeight="1">
      <c r="B25" s="273"/>
      <c r="C25" s="270" t="s">
        <v>198</v>
      </c>
      <c r="D25" s="271">
        <v>213.6</v>
      </c>
      <c r="E25" s="271">
        <v>213.6</v>
      </c>
      <c r="F25" s="272">
        <v>0</v>
      </c>
    </row>
    <row r="26" spans="2:6" ht="15" customHeight="1">
      <c r="B26" s="273"/>
      <c r="C26" s="270" t="s">
        <v>191</v>
      </c>
      <c r="D26" s="271">
        <v>207.6</v>
      </c>
      <c r="E26" s="271">
        <v>205.2</v>
      </c>
      <c r="F26" s="272">
        <v>-2.4</v>
      </c>
    </row>
    <row r="27" spans="2:6" ht="15" customHeight="1">
      <c r="B27" s="273"/>
      <c r="C27" s="270" t="s">
        <v>199</v>
      </c>
      <c r="D27" s="271">
        <v>228</v>
      </c>
      <c r="E27" s="271">
        <v>229.6</v>
      </c>
      <c r="F27" s="272">
        <v>1.6</v>
      </c>
    </row>
    <row r="28" spans="2:6" ht="15" customHeight="1">
      <c r="B28" s="273"/>
      <c r="C28" s="270" t="s">
        <v>200</v>
      </c>
      <c r="D28" s="271">
        <v>233</v>
      </c>
      <c r="E28" s="271">
        <v>229</v>
      </c>
      <c r="F28" s="272">
        <v>-4</v>
      </c>
    </row>
    <row r="29" spans="2:6" ht="15" customHeight="1">
      <c r="B29" s="273"/>
      <c r="C29" s="270" t="s">
        <v>192</v>
      </c>
      <c r="D29" s="271">
        <v>224.2</v>
      </c>
      <c r="E29" s="271">
        <v>222.6</v>
      </c>
      <c r="F29" s="272">
        <v>-1.6</v>
      </c>
    </row>
    <row r="30" spans="2:6" ht="15" customHeight="1">
      <c r="B30" s="273"/>
      <c r="C30" s="270" t="s">
        <v>201</v>
      </c>
      <c r="D30" s="271">
        <v>212.1</v>
      </c>
      <c r="E30" s="271">
        <v>211.3</v>
      </c>
      <c r="F30" s="272">
        <v>-0.8</v>
      </c>
    </row>
    <row r="31" spans="2:6" ht="15" customHeight="1">
      <c r="B31" s="273"/>
      <c r="C31" s="270" t="s">
        <v>202</v>
      </c>
      <c r="D31" s="271">
        <v>217.4</v>
      </c>
      <c r="E31" s="271">
        <v>215.8</v>
      </c>
      <c r="F31" s="272">
        <v>-1.6</v>
      </c>
    </row>
    <row r="32" spans="2:6" ht="15" customHeight="1" thickBot="1">
      <c r="B32" s="274"/>
      <c r="C32" s="275" t="s">
        <v>193</v>
      </c>
      <c r="D32" s="276">
        <v>233.6</v>
      </c>
      <c r="E32" s="276">
        <v>232.8</v>
      </c>
      <c r="F32" s="277">
        <v>-0.8</v>
      </c>
    </row>
    <row r="33" spans="2:6" ht="15" customHeight="1">
      <c r="B33" s="278" t="s">
        <v>203</v>
      </c>
      <c r="C33" s="270" t="s">
        <v>199</v>
      </c>
      <c r="D33" s="271">
        <v>248</v>
      </c>
      <c r="E33" s="271">
        <v>255</v>
      </c>
      <c r="F33" s="272">
        <v>7</v>
      </c>
    </row>
    <row r="34" spans="2:6" ht="15" customHeight="1">
      <c r="B34" s="278"/>
      <c r="C34" s="270" t="s">
        <v>192</v>
      </c>
      <c r="D34" s="271">
        <v>235</v>
      </c>
      <c r="E34" s="271">
        <v>235</v>
      </c>
      <c r="F34" s="272">
        <v>0</v>
      </c>
    </row>
    <row r="35" spans="2:6" ht="15" customHeight="1" thickBot="1">
      <c r="B35" s="279"/>
      <c r="C35" s="275" t="s">
        <v>193</v>
      </c>
      <c r="D35" s="276">
        <v>272</v>
      </c>
      <c r="E35" s="276">
        <v>272</v>
      </c>
      <c r="F35" s="277">
        <v>0</v>
      </c>
    </row>
    <row r="36" spans="2:6">
      <c r="F36" s="173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3A3E-163B-4F10-BB32-C44B8647416B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1796875" defaultRowHeight="11.5"/>
  <cols>
    <col min="1" max="1" width="3.81640625" style="259" customWidth="1"/>
    <col min="2" max="2" width="39.26953125" style="259" customWidth="1"/>
    <col min="3" max="3" width="38.1796875" style="259" customWidth="1"/>
    <col min="4" max="6" width="23" style="259" customWidth="1"/>
    <col min="7" max="7" width="3.81640625" style="259" customWidth="1"/>
    <col min="8" max="8" width="13.1796875" style="259"/>
    <col min="9" max="9" width="27.26953125" style="259" customWidth="1"/>
    <col min="10" max="16384" width="13.1796875" style="259"/>
  </cols>
  <sheetData>
    <row r="1" spans="1:8" ht="10.5" customHeight="1">
      <c r="F1" s="260"/>
    </row>
    <row r="2" spans="1:8" ht="5.25" customHeight="1" thickBot="1"/>
    <row r="3" spans="1:8" ht="20.149999999999999" customHeight="1" thickBot="1">
      <c r="A3" s="280"/>
      <c r="B3" s="7" t="s">
        <v>204</v>
      </c>
      <c r="C3" s="8"/>
      <c r="D3" s="8"/>
      <c r="E3" s="8"/>
      <c r="F3" s="9"/>
      <c r="G3" s="280"/>
    </row>
    <row r="4" spans="1:8" ht="12" customHeight="1">
      <c r="B4" s="263" t="s">
        <v>178</v>
      </c>
      <c r="C4" s="263"/>
      <c r="D4" s="263"/>
      <c r="E4" s="263"/>
      <c r="F4" s="263"/>
      <c r="G4" s="264"/>
    </row>
    <row r="5" spans="1:8" ht="20.149999999999999" customHeight="1">
      <c r="B5" s="281" t="s">
        <v>179</v>
      </c>
      <c r="C5" s="281"/>
      <c r="D5" s="281"/>
      <c r="E5" s="281"/>
      <c r="F5" s="281"/>
      <c r="G5" s="264"/>
    </row>
    <row r="6" spans="1:8" ht="15.75" customHeight="1">
      <c r="B6" s="282" t="s">
        <v>205</v>
      </c>
      <c r="C6" s="282"/>
      <c r="D6" s="282"/>
      <c r="E6" s="282"/>
      <c r="F6" s="282"/>
    </row>
    <row r="7" spans="1:8" ht="9.75" customHeight="1" thickBot="1">
      <c r="B7" s="283"/>
      <c r="C7" s="283"/>
      <c r="D7" s="283"/>
      <c r="E7" s="283"/>
      <c r="F7" s="283"/>
    </row>
    <row r="8" spans="1:8" ht="39" customHeight="1" thickBot="1">
      <c r="B8" s="267" t="s">
        <v>182</v>
      </c>
      <c r="C8" s="284" t="s">
        <v>183</v>
      </c>
      <c r="D8" s="268" t="s">
        <v>184</v>
      </c>
      <c r="E8" s="268" t="s">
        <v>185</v>
      </c>
      <c r="F8" s="268" t="s">
        <v>186</v>
      </c>
    </row>
    <row r="9" spans="1:8" ht="15" customHeight="1">
      <c r="B9" s="269" t="s">
        <v>206</v>
      </c>
      <c r="C9" s="270" t="s">
        <v>207</v>
      </c>
      <c r="D9" s="271">
        <v>208</v>
      </c>
      <c r="E9" s="271">
        <v>203.7</v>
      </c>
      <c r="F9" s="285">
        <v>-4.3</v>
      </c>
      <c r="G9" s="286"/>
      <c r="H9" s="286"/>
    </row>
    <row r="10" spans="1:8" ht="15" customHeight="1">
      <c r="B10" s="273"/>
      <c r="C10" s="270" t="s">
        <v>208</v>
      </c>
      <c r="D10" s="271">
        <v>199</v>
      </c>
      <c r="E10" s="271">
        <v>198</v>
      </c>
      <c r="F10" s="285">
        <v>-1</v>
      </c>
      <c r="G10" s="286"/>
      <c r="H10" s="286"/>
    </row>
    <row r="11" spans="1:8" ht="15" customHeight="1">
      <c r="B11" s="273"/>
      <c r="C11" s="270" t="s">
        <v>209</v>
      </c>
      <c r="D11" s="271">
        <v>215</v>
      </c>
      <c r="E11" s="271">
        <v>210.3</v>
      </c>
      <c r="F11" s="285">
        <v>-4.7</v>
      </c>
      <c r="G11" s="286"/>
      <c r="H11" s="286"/>
    </row>
    <row r="12" spans="1:8" ht="15" customHeight="1">
      <c r="B12" s="273"/>
      <c r="C12" s="270" t="s">
        <v>210</v>
      </c>
      <c r="D12" s="271">
        <v>208</v>
      </c>
      <c r="E12" s="271">
        <v>208</v>
      </c>
      <c r="F12" s="285">
        <v>0</v>
      </c>
      <c r="G12" s="286"/>
      <c r="H12" s="286"/>
    </row>
    <row r="13" spans="1:8" ht="15" customHeight="1">
      <c r="B13" s="273"/>
      <c r="C13" s="270" t="s">
        <v>211</v>
      </c>
      <c r="D13" s="271">
        <v>210</v>
      </c>
      <c r="E13" s="271">
        <v>206</v>
      </c>
      <c r="F13" s="285">
        <v>-4</v>
      </c>
      <c r="G13" s="286"/>
      <c r="H13" s="286"/>
    </row>
    <row r="14" spans="1:8" ht="15" customHeight="1">
      <c r="B14" s="273"/>
      <c r="C14" s="270" t="s">
        <v>212</v>
      </c>
      <c r="D14" s="271">
        <v>212</v>
      </c>
      <c r="E14" s="271">
        <v>211</v>
      </c>
      <c r="F14" s="285">
        <v>-1</v>
      </c>
      <c r="G14" s="286"/>
      <c r="H14" s="286"/>
    </row>
    <row r="15" spans="1:8" ht="15" customHeight="1">
      <c r="B15" s="273"/>
      <c r="C15" s="270" t="s">
        <v>213</v>
      </c>
      <c r="D15" s="271">
        <v>214</v>
      </c>
      <c r="E15" s="271">
        <v>214</v>
      </c>
      <c r="F15" s="285">
        <v>0</v>
      </c>
      <c r="G15" s="286"/>
      <c r="H15" s="286"/>
    </row>
    <row r="16" spans="1:8" ht="15" customHeight="1">
      <c r="B16" s="273"/>
      <c r="C16" s="270" t="s">
        <v>214</v>
      </c>
      <c r="D16" s="271">
        <v>216</v>
      </c>
      <c r="E16" s="271">
        <v>216</v>
      </c>
      <c r="F16" s="285">
        <v>0</v>
      </c>
      <c r="G16" s="286"/>
      <c r="H16" s="286"/>
    </row>
    <row r="17" spans="2:8" ht="15" customHeight="1">
      <c r="B17" s="273"/>
      <c r="C17" s="270" t="s">
        <v>215</v>
      </c>
      <c r="D17" s="271">
        <v>224</v>
      </c>
      <c r="E17" s="271">
        <v>226</v>
      </c>
      <c r="F17" s="285">
        <v>2</v>
      </c>
      <c r="G17" s="286"/>
      <c r="H17" s="286"/>
    </row>
    <row r="18" spans="2:8" ht="15" customHeight="1">
      <c r="B18" s="273"/>
      <c r="C18" s="270" t="s">
        <v>216</v>
      </c>
      <c r="D18" s="271">
        <v>210</v>
      </c>
      <c r="E18" s="271">
        <v>210</v>
      </c>
      <c r="F18" s="285">
        <v>0</v>
      </c>
      <c r="G18" s="286"/>
      <c r="H18" s="286"/>
    </row>
    <row r="19" spans="2:8" ht="15" customHeight="1">
      <c r="B19" s="273"/>
      <c r="C19" s="270" t="s">
        <v>217</v>
      </c>
      <c r="D19" s="271">
        <v>200</v>
      </c>
      <c r="E19" s="271">
        <v>199</v>
      </c>
      <c r="F19" s="285">
        <v>-1</v>
      </c>
      <c r="G19" s="286"/>
      <c r="H19" s="286"/>
    </row>
    <row r="20" spans="2:8" ht="15" customHeight="1">
      <c r="B20" s="273"/>
      <c r="C20" s="270" t="s">
        <v>218</v>
      </c>
      <c r="D20" s="271">
        <v>200</v>
      </c>
      <c r="E20" s="271">
        <v>200</v>
      </c>
      <c r="F20" s="285">
        <v>0</v>
      </c>
      <c r="G20" s="286"/>
      <c r="H20" s="286"/>
    </row>
    <row r="21" spans="2:8" ht="15" customHeight="1">
      <c r="B21" s="273"/>
      <c r="C21" s="270" t="s">
        <v>219</v>
      </c>
      <c r="D21" s="271">
        <v>215</v>
      </c>
      <c r="E21" s="271">
        <v>214</v>
      </c>
      <c r="F21" s="285">
        <v>-1</v>
      </c>
      <c r="G21" s="286"/>
      <c r="H21" s="286"/>
    </row>
    <row r="22" spans="2:8" ht="15" customHeight="1">
      <c r="B22" s="273"/>
      <c r="C22" s="270" t="s">
        <v>220</v>
      </c>
      <c r="D22" s="271">
        <v>212</v>
      </c>
      <c r="E22" s="271">
        <v>207.2</v>
      </c>
      <c r="F22" s="285">
        <v>-4.8</v>
      </c>
      <c r="G22" s="286"/>
      <c r="H22" s="286"/>
    </row>
    <row r="23" spans="2:8" ht="15" customHeight="1">
      <c r="B23" s="273"/>
      <c r="C23" s="270" t="s">
        <v>221</v>
      </c>
      <c r="D23" s="271">
        <v>205</v>
      </c>
      <c r="E23" s="271">
        <v>204</v>
      </c>
      <c r="F23" s="285">
        <v>-1</v>
      </c>
      <c r="G23" s="286"/>
      <c r="H23" s="286"/>
    </row>
    <row r="24" spans="2:8" ht="15" customHeight="1">
      <c r="B24" s="273"/>
      <c r="C24" s="270" t="s">
        <v>222</v>
      </c>
      <c r="D24" s="271">
        <v>214</v>
      </c>
      <c r="E24" s="271">
        <v>214</v>
      </c>
      <c r="F24" s="285">
        <v>0</v>
      </c>
      <c r="G24" s="286"/>
      <c r="H24" s="286"/>
    </row>
    <row r="25" spans="2:8" ht="15" customHeight="1" thickBot="1">
      <c r="B25" s="274"/>
      <c r="C25" s="275" t="s">
        <v>223</v>
      </c>
      <c r="D25" s="276">
        <v>215</v>
      </c>
      <c r="E25" s="276">
        <v>214</v>
      </c>
      <c r="F25" s="287">
        <v>-1</v>
      </c>
      <c r="G25" s="286"/>
      <c r="H25" s="286"/>
    </row>
    <row r="26" spans="2:8" ht="15" customHeight="1">
      <c r="B26" s="288" t="s">
        <v>224</v>
      </c>
      <c r="C26" s="270" t="s">
        <v>207</v>
      </c>
      <c r="D26" s="289">
        <v>225</v>
      </c>
      <c r="E26" s="289">
        <v>225.6</v>
      </c>
      <c r="F26" s="290">
        <v>0.6</v>
      </c>
    </row>
    <row r="27" spans="2:8" ht="15" customHeight="1">
      <c r="B27" s="288"/>
      <c r="C27" s="270" t="s">
        <v>209</v>
      </c>
      <c r="D27" s="289">
        <v>238</v>
      </c>
      <c r="E27" s="289">
        <v>234.8</v>
      </c>
      <c r="F27" s="290">
        <v>-3.2</v>
      </c>
    </row>
    <row r="28" spans="2:8" ht="15" customHeight="1">
      <c r="B28" s="273"/>
      <c r="C28" s="270" t="s">
        <v>211</v>
      </c>
      <c r="D28" s="289" t="s">
        <v>225</v>
      </c>
      <c r="E28" s="289">
        <v>226</v>
      </c>
      <c r="F28" s="290" t="s">
        <v>225</v>
      </c>
    </row>
    <row r="29" spans="2:8" ht="15" customHeight="1">
      <c r="B29" s="273"/>
      <c r="C29" s="270" t="s">
        <v>212</v>
      </c>
      <c r="D29" s="289">
        <v>225</v>
      </c>
      <c r="E29" s="289">
        <v>224</v>
      </c>
      <c r="F29" s="290">
        <v>-1</v>
      </c>
    </row>
    <row r="30" spans="2:8" ht="15" customHeight="1">
      <c r="B30" s="273"/>
      <c r="C30" s="270" t="s">
        <v>213</v>
      </c>
      <c r="D30" s="289">
        <v>228.2</v>
      </c>
      <c r="E30" s="289">
        <v>230.6</v>
      </c>
      <c r="F30" s="290">
        <v>2.4</v>
      </c>
    </row>
    <row r="31" spans="2:8" ht="15" customHeight="1">
      <c r="B31" s="273"/>
      <c r="C31" s="270" t="s">
        <v>226</v>
      </c>
      <c r="D31" s="289">
        <v>225</v>
      </c>
      <c r="E31" s="289">
        <v>225</v>
      </c>
      <c r="F31" s="290">
        <v>0</v>
      </c>
    </row>
    <row r="32" spans="2:8" ht="15" customHeight="1">
      <c r="B32" s="273"/>
      <c r="C32" s="270" t="s">
        <v>227</v>
      </c>
      <c r="D32" s="289">
        <v>224</v>
      </c>
      <c r="E32" s="289">
        <v>224</v>
      </c>
      <c r="F32" s="290">
        <v>0</v>
      </c>
    </row>
    <row r="33" spans="2:6" ht="15" customHeight="1">
      <c r="B33" s="288"/>
      <c r="C33" s="270" t="s">
        <v>216</v>
      </c>
      <c r="D33" s="289">
        <v>233.8</v>
      </c>
      <c r="E33" s="289">
        <v>233.8</v>
      </c>
      <c r="F33" s="290">
        <v>0</v>
      </c>
    </row>
    <row r="34" spans="2:6" ht="15" customHeight="1">
      <c r="B34" s="273"/>
      <c r="C34" s="270" t="s">
        <v>228</v>
      </c>
      <c r="D34" s="289">
        <v>229</v>
      </c>
      <c r="E34" s="289">
        <v>229</v>
      </c>
      <c r="F34" s="290">
        <v>0</v>
      </c>
    </row>
    <row r="35" spans="2:6" ht="15" customHeight="1">
      <c r="B35" s="273"/>
      <c r="C35" s="270" t="s">
        <v>220</v>
      </c>
      <c r="D35" s="289">
        <v>232</v>
      </c>
      <c r="E35" s="289">
        <v>231.6</v>
      </c>
      <c r="F35" s="290">
        <v>-0.4</v>
      </c>
    </row>
    <row r="36" spans="2:6" ht="15" customHeight="1">
      <c r="B36" s="273"/>
      <c r="C36" s="270" t="s">
        <v>221</v>
      </c>
      <c r="D36" s="289">
        <v>229</v>
      </c>
      <c r="E36" s="289">
        <v>228.2</v>
      </c>
      <c r="F36" s="290">
        <v>-0.8</v>
      </c>
    </row>
    <row r="37" spans="2:6" ht="15" customHeight="1">
      <c r="B37" s="273"/>
      <c r="C37" s="270" t="s">
        <v>222</v>
      </c>
      <c r="D37" s="289">
        <v>228.8</v>
      </c>
      <c r="E37" s="289">
        <v>231.8</v>
      </c>
      <c r="F37" s="290">
        <v>3</v>
      </c>
    </row>
    <row r="38" spans="2:6" ht="15" customHeight="1" thickBot="1">
      <c r="B38" s="274"/>
      <c r="C38" s="275" t="s">
        <v>223</v>
      </c>
      <c r="D38" s="291">
        <v>230</v>
      </c>
      <c r="E38" s="291">
        <v>229</v>
      </c>
      <c r="F38" s="292">
        <v>-1</v>
      </c>
    </row>
    <row r="39" spans="2:6">
      <c r="F39" s="173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0C2C-56AD-42F7-B23F-CF56D41C3425}">
  <sheetPr>
    <pageSetUpPr fitToPage="1"/>
  </sheetPr>
  <dimension ref="B1:G45"/>
  <sheetViews>
    <sheetView showGridLines="0" zoomScaleNormal="100" zoomScaleSheetLayoutView="80" workbookViewId="0"/>
  </sheetViews>
  <sheetFormatPr baseColWidth="10" defaultColWidth="13.1796875" defaultRowHeight="11.5"/>
  <cols>
    <col min="1" max="1" width="3.81640625" style="259" customWidth="1"/>
    <col min="2" max="2" width="52.1796875" style="259" customWidth="1"/>
    <col min="3" max="3" width="38.1796875" style="259" customWidth="1"/>
    <col min="4" max="6" width="23" style="259" customWidth="1"/>
    <col min="7" max="7" width="7.26953125" style="259" customWidth="1"/>
    <col min="8" max="8" width="13.1796875" style="259"/>
    <col min="9" max="9" width="13.1796875" style="259" customWidth="1"/>
    <col min="10" max="16384" width="13.1796875" style="259"/>
  </cols>
  <sheetData>
    <row r="1" spans="2:7" ht="13.5" customHeight="1"/>
    <row r="2" spans="2:7" ht="10.5" customHeight="1" thickBot="1"/>
    <row r="3" spans="2:7" ht="20.149999999999999" customHeight="1" thickBot="1">
      <c r="B3" s="7" t="s">
        <v>229</v>
      </c>
      <c r="C3" s="8"/>
      <c r="D3" s="8"/>
      <c r="E3" s="8"/>
      <c r="F3" s="9"/>
    </row>
    <row r="4" spans="2:7" ht="12" customHeight="1">
      <c r="B4" s="263" t="s">
        <v>178</v>
      </c>
      <c r="C4" s="263"/>
      <c r="D4" s="263"/>
      <c r="E4" s="263"/>
      <c r="F4" s="263"/>
      <c r="G4" s="264"/>
    </row>
    <row r="5" spans="2:7" ht="30" customHeight="1">
      <c r="B5" s="293" t="s">
        <v>230</v>
      </c>
      <c r="C5" s="293"/>
      <c r="D5" s="293"/>
      <c r="E5" s="293"/>
      <c r="F5" s="293"/>
      <c r="G5" s="264"/>
    </row>
    <row r="6" spans="2:7" ht="25.5" customHeight="1">
      <c r="B6" s="294" t="s">
        <v>231</v>
      </c>
      <c r="C6" s="294"/>
      <c r="D6" s="294"/>
      <c r="E6" s="294"/>
      <c r="F6" s="294"/>
    </row>
    <row r="7" spans="2:7" ht="20.149999999999999" customHeight="1">
      <c r="B7" s="295" t="s">
        <v>181</v>
      </c>
      <c r="C7" s="295"/>
      <c r="D7" s="295"/>
      <c r="E7" s="295"/>
      <c r="F7" s="295"/>
    </row>
    <row r="8" spans="2:7" ht="10.5" customHeight="1" thickBot="1">
      <c r="B8" s="296"/>
      <c r="C8" s="296"/>
      <c r="D8" s="296"/>
      <c r="E8" s="296"/>
      <c r="F8" s="296"/>
    </row>
    <row r="9" spans="2:7" ht="39" customHeight="1" thickBot="1">
      <c r="B9" s="267" t="s">
        <v>232</v>
      </c>
      <c r="C9" s="268" t="s">
        <v>183</v>
      </c>
      <c r="D9" s="268" t="s">
        <v>184</v>
      </c>
      <c r="E9" s="268" t="s">
        <v>185</v>
      </c>
      <c r="F9" s="268" t="s">
        <v>186</v>
      </c>
    </row>
    <row r="10" spans="2:7" ht="15" customHeight="1">
      <c r="B10" s="297" t="s">
        <v>233</v>
      </c>
      <c r="C10" s="298" t="s">
        <v>234</v>
      </c>
      <c r="D10" s="299">
        <v>320</v>
      </c>
      <c r="E10" s="299">
        <v>320</v>
      </c>
      <c r="F10" s="290">
        <v>0</v>
      </c>
    </row>
    <row r="11" spans="2:7" ht="15" customHeight="1">
      <c r="B11" s="288"/>
      <c r="C11" s="300" t="s">
        <v>235</v>
      </c>
      <c r="D11" s="289">
        <v>280</v>
      </c>
      <c r="E11" s="289">
        <v>280</v>
      </c>
      <c r="F11" s="290">
        <v>0</v>
      </c>
    </row>
    <row r="12" spans="2:7" ht="15" customHeight="1">
      <c r="B12" s="288"/>
      <c r="C12" s="300" t="s">
        <v>236</v>
      </c>
      <c r="D12" s="289">
        <v>300</v>
      </c>
      <c r="E12" s="289">
        <v>300</v>
      </c>
      <c r="F12" s="290">
        <v>0</v>
      </c>
    </row>
    <row r="13" spans="2:7" ht="15" customHeight="1">
      <c r="B13" s="288"/>
      <c r="C13" s="300" t="s">
        <v>228</v>
      </c>
      <c r="D13" s="289">
        <v>370</v>
      </c>
      <c r="E13" s="289">
        <v>370</v>
      </c>
      <c r="F13" s="290">
        <v>0</v>
      </c>
    </row>
    <row r="14" spans="2:7" ht="15" customHeight="1" thickBot="1">
      <c r="B14" s="301"/>
      <c r="C14" s="302" t="s">
        <v>237</v>
      </c>
      <c r="D14" s="291">
        <v>272.5</v>
      </c>
      <c r="E14" s="291">
        <v>272.5</v>
      </c>
      <c r="F14" s="292">
        <v>0</v>
      </c>
    </row>
    <row r="15" spans="2:7" ht="15" customHeight="1">
      <c r="B15" s="288" t="s">
        <v>238</v>
      </c>
      <c r="C15" s="300" t="s">
        <v>234</v>
      </c>
      <c r="D15" s="289">
        <v>365</v>
      </c>
      <c r="E15" s="289">
        <v>365</v>
      </c>
      <c r="F15" s="290">
        <v>0</v>
      </c>
    </row>
    <row r="16" spans="2:7" ht="15" customHeight="1">
      <c r="B16" s="273"/>
      <c r="C16" s="270" t="s">
        <v>212</v>
      </c>
      <c r="D16" s="289">
        <v>380</v>
      </c>
      <c r="E16" s="289">
        <v>380</v>
      </c>
      <c r="F16" s="290">
        <v>0</v>
      </c>
    </row>
    <row r="17" spans="2:6" ht="15" customHeight="1">
      <c r="B17" s="273"/>
      <c r="C17" s="270" t="s">
        <v>228</v>
      </c>
      <c r="D17" s="289">
        <v>470</v>
      </c>
      <c r="E17" s="289">
        <v>470</v>
      </c>
      <c r="F17" s="290">
        <v>0</v>
      </c>
    </row>
    <row r="18" spans="2:6" ht="15" customHeight="1">
      <c r="B18" s="273"/>
      <c r="C18" s="270" t="s">
        <v>239</v>
      </c>
      <c r="D18" s="289">
        <v>460</v>
      </c>
      <c r="E18" s="289">
        <v>460</v>
      </c>
      <c r="F18" s="290">
        <v>0</v>
      </c>
    </row>
    <row r="19" spans="2:6" ht="15" customHeight="1" thickBot="1">
      <c r="B19" s="274"/>
      <c r="C19" s="303" t="s">
        <v>237</v>
      </c>
      <c r="D19" s="304">
        <v>500</v>
      </c>
      <c r="E19" s="304">
        <v>501</v>
      </c>
      <c r="F19" s="305">
        <v>1</v>
      </c>
    </row>
    <row r="20" spans="2:6" ht="15" customHeight="1">
      <c r="B20" s="288" t="s">
        <v>240</v>
      </c>
      <c r="C20" s="300" t="s">
        <v>212</v>
      </c>
      <c r="D20" s="289">
        <v>450</v>
      </c>
      <c r="E20" s="289">
        <v>450</v>
      </c>
      <c r="F20" s="290">
        <v>0</v>
      </c>
    </row>
    <row r="21" spans="2:6" ht="15" customHeight="1">
      <c r="B21" s="273"/>
      <c r="C21" s="300" t="s">
        <v>239</v>
      </c>
      <c r="D21" s="289">
        <v>1087.5</v>
      </c>
      <c r="E21" s="289">
        <v>1087.5</v>
      </c>
      <c r="F21" s="306">
        <v>0</v>
      </c>
    </row>
    <row r="22" spans="2:6" ht="15" customHeight="1" thickBot="1">
      <c r="B22" s="274"/>
      <c r="C22" s="303" t="s">
        <v>237</v>
      </c>
      <c r="D22" s="304">
        <v>1190</v>
      </c>
      <c r="E22" s="304">
        <v>1190</v>
      </c>
      <c r="F22" s="305">
        <v>0</v>
      </c>
    </row>
    <row r="23" spans="2:6" ht="15" customHeight="1">
      <c r="B23" s="288" t="s">
        <v>241</v>
      </c>
      <c r="C23" s="307" t="s">
        <v>239</v>
      </c>
      <c r="D23" s="289">
        <v>427.5</v>
      </c>
      <c r="E23" s="289">
        <v>427.5</v>
      </c>
      <c r="F23" s="290">
        <v>0</v>
      </c>
    </row>
    <row r="24" spans="2:6" ht="15" customHeight="1" thickBot="1">
      <c r="B24" s="274"/>
      <c r="C24" s="302" t="s">
        <v>237</v>
      </c>
      <c r="D24" s="291">
        <v>367.5</v>
      </c>
      <c r="E24" s="291">
        <v>367.5</v>
      </c>
      <c r="F24" s="305">
        <v>0</v>
      </c>
    </row>
    <row r="25" spans="2:6">
      <c r="B25" s="269" t="s">
        <v>242</v>
      </c>
      <c r="C25" s="270" t="s">
        <v>207</v>
      </c>
      <c r="D25" s="271">
        <v>180</v>
      </c>
      <c r="E25" s="271">
        <v>180</v>
      </c>
      <c r="F25" s="285">
        <v>0</v>
      </c>
    </row>
    <row r="26" spans="2:6" ht="12.5">
      <c r="B26" s="273"/>
      <c r="C26" s="270" t="s">
        <v>208</v>
      </c>
      <c r="D26" s="271">
        <v>242</v>
      </c>
      <c r="E26" s="271">
        <v>242</v>
      </c>
      <c r="F26" s="285">
        <v>0</v>
      </c>
    </row>
    <row r="27" spans="2:6" ht="12.5">
      <c r="B27" s="273"/>
      <c r="C27" s="270" t="s">
        <v>243</v>
      </c>
      <c r="D27" s="271">
        <v>191</v>
      </c>
      <c r="E27" s="271">
        <v>195</v>
      </c>
      <c r="F27" s="285">
        <v>4</v>
      </c>
    </row>
    <row r="28" spans="2:6" ht="12.5">
      <c r="B28" s="273"/>
      <c r="C28" s="270" t="s">
        <v>212</v>
      </c>
      <c r="D28" s="271">
        <v>246</v>
      </c>
      <c r="E28" s="271">
        <v>247</v>
      </c>
      <c r="F28" s="285">
        <v>1</v>
      </c>
    </row>
    <row r="29" spans="2:6" ht="12.5">
      <c r="B29" s="273"/>
      <c r="C29" s="270" t="s">
        <v>226</v>
      </c>
      <c r="D29" s="271">
        <v>239.1666666667</v>
      </c>
      <c r="E29" s="271">
        <v>239.1666666667</v>
      </c>
      <c r="F29" s="285">
        <v>0</v>
      </c>
    </row>
    <row r="30" spans="2:6" ht="12.5">
      <c r="B30" s="273"/>
      <c r="C30" s="270" t="s">
        <v>227</v>
      </c>
      <c r="D30" s="271">
        <v>252.5</v>
      </c>
      <c r="E30" s="271">
        <v>252.5</v>
      </c>
      <c r="F30" s="285">
        <v>0</v>
      </c>
    </row>
    <row r="31" spans="2:6" ht="12.5">
      <c r="B31" s="273"/>
      <c r="C31" s="270" t="s">
        <v>228</v>
      </c>
      <c r="D31" s="271">
        <v>205</v>
      </c>
      <c r="E31" s="271">
        <v>205</v>
      </c>
      <c r="F31" s="285">
        <v>0</v>
      </c>
    </row>
    <row r="32" spans="2:6" ht="12.5">
      <c r="B32" s="273"/>
      <c r="C32" s="270" t="s">
        <v>220</v>
      </c>
      <c r="D32" s="271">
        <v>246</v>
      </c>
      <c r="E32" s="271">
        <v>246</v>
      </c>
      <c r="F32" s="285">
        <v>0</v>
      </c>
    </row>
    <row r="33" spans="2:6" ht="12.5">
      <c r="B33" s="273"/>
      <c r="C33" s="270" t="s">
        <v>222</v>
      </c>
      <c r="D33" s="271">
        <v>223</v>
      </c>
      <c r="E33" s="271">
        <v>223</v>
      </c>
      <c r="F33" s="285">
        <v>0</v>
      </c>
    </row>
    <row r="34" spans="2:6" ht="13" thickBot="1">
      <c r="B34" s="274"/>
      <c r="C34" s="275" t="s">
        <v>223</v>
      </c>
      <c r="D34" s="276">
        <v>250</v>
      </c>
      <c r="E34" s="276">
        <v>252.3333333333</v>
      </c>
      <c r="F34" s="305">
        <v>2.3333333333000001</v>
      </c>
    </row>
    <row r="35" spans="2:6">
      <c r="B35" s="269" t="s">
        <v>244</v>
      </c>
      <c r="C35" s="270" t="s">
        <v>207</v>
      </c>
      <c r="D35" s="271">
        <v>125</v>
      </c>
      <c r="E35" s="271">
        <v>125</v>
      </c>
      <c r="F35" s="285">
        <v>0</v>
      </c>
    </row>
    <row r="36" spans="2:6" ht="12.5">
      <c r="B36" s="273"/>
      <c r="C36" s="270" t="s">
        <v>208</v>
      </c>
      <c r="D36" s="271">
        <v>223</v>
      </c>
      <c r="E36" s="271">
        <v>223</v>
      </c>
      <c r="F36" s="285">
        <v>0</v>
      </c>
    </row>
    <row r="37" spans="2:6" ht="12.5">
      <c r="B37" s="273"/>
      <c r="C37" s="270" t="s">
        <v>243</v>
      </c>
      <c r="D37" s="271">
        <v>177</v>
      </c>
      <c r="E37" s="271">
        <v>180</v>
      </c>
      <c r="F37" s="285">
        <v>3</v>
      </c>
    </row>
    <row r="38" spans="2:6" ht="12.5">
      <c r="B38" s="273"/>
      <c r="C38" s="270" t="s">
        <v>212</v>
      </c>
      <c r="D38" s="271">
        <v>175</v>
      </c>
      <c r="E38" s="271">
        <v>174.6666666667</v>
      </c>
      <c r="F38" s="285">
        <v>-0.33333333329999998</v>
      </c>
    </row>
    <row r="39" spans="2:6" ht="12.5">
      <c r="B39" s="273"/>
      <c r="C39" s="270" t="s">
        <v>226</v>
      </c>
      <c r="D39" s="271">
        <v>191.6666666667</v>
      </c>
      <c r="E39" s="271">
        <v>191.6666666667</v>
      </c>
      <c r="F39" s="285">
        <v>0</v>
      </c>
    </row>
    <row r="40" spans="2:6" ht="12.5">
      <c r="B40" s="273"/>
      <c r="C40" s="270" t="s">
        <v>227</v>
      </c>
      <c r="D40" s="271">
        <v>210</v>
      </c>
      <c r="E40" s="271">
        <v>210</v>
      </c>
      <c r="F40" s="285">
        <v>0</v>
      </c>
    </row>
    <row r="41" spans="2:6" ht="12.5">
      <c r="B41" s="273"/>
      <c r="C41" s="270" t="s">
        <v>228</v>
      </c>
      <c r="D41" s="271">
        <v>190</v>
      </c>
      <c r="E41" s="271">
        <v>190</v>
      </c>
      <c r="F41" s="285">
        <v>0</v>
      </c>
    </row>
    <row r="42" spans="2:6" ht="12.5">
      <c r="B42" s="273"/>
      <c r="C42" s="270" t="s">
        <v>220</v>
      </c>
      <c r="D42" s="271">
        <v>260</v>
      </c>
      <c r="E42" s="271">
        <v>260</v>
      </c>
      <c r="F42" s="285">
        <v>0</v>
      </c>
    </row>
    <row r="43" spans="2:6" ht="12.5">
      <c r="B43" s="273"/>
      <c r="C43" s="270" t="s">
        <v>222</v>
      </c>
      <c r="D43" s="271">
        <v>182</v>
      </c>
      <c r="E43" s="271">
        <v>182</v>
      </c>
      <c r="F43" s="285">
        <v>0</v>
      </c>
    </row>
    <row r="44" spans="2:6" ht="13" thickBot="1">
      <c r="B44" s="274"/>
      <c r="C44" s="275" t="s">
        <v>223</v>
      </c>
      <c r="D44" s="276">
        <v>172.5</v>
      </c>
      <c r="E44" s="276">
        <v>171.8333333333</v>
      </c>
      <c r="F44" s="308">
        <v>-0.66666666669999997</v>
      </c>
    </row>
    <row r="45" spans="2:6" ht="15" customHeight="1">
      <c r="F45" s="173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04BA-111C-4067-B6E9-DF44A55AEA3B}">
  <sheetPr>
    <pageSetUpPr fitToPage="1"/>
  </sheetPr>
  <dimension ref="A1:G22"/>
  <sheetViews>
    <sheetView showGridLines="0" zoomScaleNormal="100" zoomScaleSheetLayoutView="90" workbookViewId="0"/>
  </sheetViews>
  <sheetFormatPr baseColWidth="10" defaultColWidth="13.1796875" defaultRowHeight="11.5"/>
  <cols>
    <col min="1" max="1" width="3.81640625" style="259" customWidth="1"/>
    <col min="2" max="2" width="47" style="259" customWidth="1"/>
    <col min="3" max="3" width="38.1796875" style="259" customWidth="1"/>
    <col min="4" max="6" width="26.1796875" style="259" customWidth="1"/>
    <col min="7" max="7" width="5.1796875" style="259" customWidth="1"/>
    <col min="8" max="16384" width="13.1796875" style="259"/>
  </cols>
  <sheetData>
    <row r="1" spans="1:7" ht="14.25" customHeight="1">
      <c r="A1" s="162"/>
      <c r="B1" s="162"/>
      <c r="C1" s="162"/>
      <c r="D1" s="162"/>
      <c r="E1" s="162"/>
      <c r="F1" s="162"/>
    </row>
    <row r="2" spans="1:7" ht="10.5" customHeight="1" thickBot="1">
      <c r="A2" s="162"/>
      <c r="B2" s="162"/>
      <c r="C2" s="162"/>
      <c r="D2" s="162"/>
      <c r="E2" s="162"/>
      <c r="F2" s="162"/>
    </row>
    <row r="3" spans="1:7" ht="20.149999999999999" customHeight="1" thickBot="1">
      <c r="A3" s="162"/>
      <c r="B3" s="309" t="s">
        <v>245</v>
      </c>
      <c r="C3" s="310"/>
      <c r="D3" s="310"/>
      <c r="E3" s="310"/>
      <c r="F3" s="311"/>
    </row>
    <row r="4" spans="1:7" ht="15.75" customHeight="1">
      <c r="A4" s="162"/>
      <c r="B4" s="6"/>
      <c r="C4" s="6"/>
      <c r="D4" s="6"/>
      <c r="E4" s="6"/>
      <c r="F4" s="6"/>
    </row>
    <row r="5" spans="1:7" ht="20.9" customHeight="1">
      <c r="A5" s="162"/>
      <c r="B5" s="312" t="s">
        <v>246</v>
      </c>
      <c r="C5" s="312"/>
      <c r="D5" s="312"/>
      <c r="E5" s="312"/>
      <c r="F5" s="312"/>
      <c r="G5" s="264"/>
    </row>
    <row r="6" spans="1:7" ht="20.149999999999999" customHeight="1">
      <c r="A6" s="162"/>
      <c r="B6" s="313" t="s">
        <v>247</v>
      </c>
      <c r="C6" s="313"/>
      <c r="D6" s="313"/>
      <c r="E6" s="313"/>
      <c r="F6" s="313"/>
      <c r="G6" s="264"/>
    </row>
    <row r="7" spans="1:7" ht="20.149999999999999" customHeight="1" thickBot="1">
      <c r="A7" s="162"/>
      <c r="B7" s="162"/>
      <c r="C7" s="162"/>
      <c r="D7" s="162"/>
      <c r="E7" s="162"/>
      <c r="F7" s="162"/>
    </row>
    <row r="8" spans="1:7" ht="39" customHeight="1" thickBot="1">
      <c r="A8" s="162"/>
      <c r="B8" s="314" t="s">
        <v>232</v>
      </c>
      <c r="C8" s="315" t="s">
        <v>183</v>
      </c>
      <c r="D8" s="268" t="s">
        <v>184</v>
      </c>
      <c r="E8" s="268" t="s">
        <v>185</v>
      </c>
      <c r="F8" s="268" t="s">
        <v>186</v>
      </c>
    </row>
    <row r="9" spans="1:7" ht="15" customHeight="1">
      <c r="A9" s="162"/>
      <c r="B9" s="316" t="s">
        <v>248</v>
      </c>
      <c r="C9" s="317" t="s">
        <v>207</v>
      </c>
      <c r="D9" s="318">
        <v>58.823999999999998</v>
      </c>
      <c r="E9" s="318">
        <v>61.453000000000003</v>
      </c>
      <c r="F9" s="319">
        <v>2.629</v>
      </c>
    </row>
    <row r="10" spans="1:7" ht="15" customHeight="1">
      <c r="A10" s="162"/>
      <c r="B10" s="320"/>
      <c r="C10" s="321" t="s">
        <v>234</v>
      </c>
      <c r="D10" s="322">
        <v>52.22</v>
      </c>
      <c r="E10" s="322">
        <v>52.973400809700003</v>
      </c>
      <c r="F10" s="319">
        <v>0.75340080970000001</v>
      </c>
    </row>
    <row r="11" spans="1:7" ht="15" customHeight="1" thickBot="1">
      <c r="A11" s="162"/>
      <c r="B11" s="323"/>
      <c r="C11" s="324" t="s">
        <v>210</v>
      </c>
      <c r="D11" s="325">
        <v>55.277999999999999</v>
      </c>
      <c r="E11" s="325">
        <v>53.286000000000001</v>
      </c>
      <c r="F11" s="319">
        <v>-1.992</v>
      </c>
    </row>
    <row r="12" spans="1:7" ht="15" customHeight="1" thickBot="1">
      <c r="A12" s="162"/>
      <c r="B12" s="326" t="s">
        <v>249</v>
      </c>
      <c r="C12" s="327" t="s">
        <v>250</v>
      </c>
      <c r="D12" s="328"/>
      <c r="E12" s="328"/>
      <c r="F12" s="329"/>
    </row>
    <row r="13" spans="1:7" ht="15" customHeight="1">
      <c r="A13" s="162"/>
      <c r="B13" s="320"/>
      <c r="C13" s="317" t="s">
        <v>207</v>
      </c>
      <c r="D13" s="318">
        <v>50.724299999999999</v>
      </c>
      <c r="E13" s="318">
        <v>51.094000000000001</v>
      </c>
      <c r="F13" s="319">
        <v>0.36969999999999997</v>
      </c>
    </row>
    <row r="14" spans="1:7" ht="15" customHeight="1">
      <c r="A14" s="162"/>
      <c r="B14" s="320"/>
      <c r="C14" s="317" t="s">
        <v>234</v>
      </c>
      <c r="D14" s="322">
        <v>53.589500000000001</v>
      </c>
      <c r="E14" s="322">
        <v>54.042666666700001</v>
      </c>
      <c r="F14" s="319">
        <v>0.4531666667</v>
      </c>
    </row>
    <row r="15" spans="1:7" ht="15" customHeight="1">
      <c r="A15" s="162"/>
      <c r="B15" s="320"/>
      <c r="C15" s="321" t="s">
        <v>210</v>
      </c>
      <c r="D15" s="322">
        <v>53.6235</v>
      </c>
      <c r="E15" s="322">
        <v>50.942324999999997</v>
      </c>
      <c r="F15" s="319">
        <v>-2.6811750000000001</v>
      </c>
    </row>
    <row r="16" spans="1:7" ht="15" customHeight="1">
      <c r="A16" s="162"/>
      <c r="B16" s="320"/>
      <c r="C16" s="321" t="s">
        <v>215</v>
      </c>
      <c r="D16" s="322">
        <v>54.225000000000001</v>
      </c>
      <c r="E16" s="322">
        <v>55.703000000000003</v>
      </c>
      <c r="F16" s="319">
        <v>1.478</v>
      </c>
    </row>
    <row r="17" spans="1:6" ht="15" customHeight="1" thickBot="1">
      <c r="A17" s="162"/>
      <c r="B17" s="323"/>
      <c r="C17" s="330" t="s">
        <v>237</v>
      </c>
      <c r="D17" s="325" t="s">
        <v>225</v>
      </c>
      <c r="E17" s="325">
        <v>45.64</v>
      </c>
      <c r="F17" s="331" t="s">
        <v>225</v>
      </c>
    </row>
    <row r="18" spans="1:6" ht="15" customHeight="1">
      <c r="A18" s="162"/>
      <c r="B18" s="162"/>
      <c r="C18" s="162"/>
      <c r="D18" s="162"/>
      <c r="E18" s="162"/>
      <c r="F18" s="173" t="s">
        <v>68</v>
      </c>
    </row>
    <row r="19" spans="1:6" ht="15" customHeight="1">
      <c r="A19" s="162"/>
    </row>
    <row r="20" spans="1:6" ht="15" customHeight="1">
      <c r="A20" s="162"/>
      <c r="F20" s="332"/>
    </row>
    <row r="21" spans="1:6" ht="15" customHeight="1">
      <c r="A21" s="162"/>
    </row>
    <row r="22" spans="1:6">
      <c r="A22" s="162"/>
    </row>
  </sheetData>
  <mergeCells count="4">
    <mergeCell ref="B3:F3"/>
    <mergeCell ref="B5:F5"/>
    <mergeCell ref="B6:F6"/>
    <mergeCell ref="C12:F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1CCF-FCD4-477F-8697-DD3C221321A8}">
  <sheetPr>
    <pageSetUpPr fitToPage="1"/>
  </sheetPr>
  <dimension ref="A1:L71"/>
  <sheetViews>
    <sheetView showGridLines="0" zoomScaleNormal="100" zoomScaleSheetLayoutView="100" workbookViewId="0"/>
  </sheetViews>
  <sheetFormatPr baseColWidth="10" defaultColWidth="17.1796875" defaultRowHeight="14.5"/>
  <cols>
    <col min="1" max="1" width="5.81640625" style="335" customWidth="1"/>
    <col min="2" max="2" width="72.54296875" style="335" customWidth="1"/>
    <col min="3" max="3" width="33.54296875" style="335" customWidth="1"/>
    <col min="4" max="6" width="26.1796875" style="335" customWidth="1"/>
    <col min="7" max="7" width="3.81640625" style="335" customWidth="1"/>
    <col min="8" max="9" width="15.54296875" style="336" customWidth="1"/>
    <col min="10" max="16384" width="17.1796875" style="336"/>
  </cols>
  <sheetData>
    <row r="1" spans="1:7" ht="10.5" customHeight="1">
      <c r="A1" s="333"/>
      <c r="B1" s="333"/>
      <c r="C1" s="333"/>
      <c r="D1" s="333"/>
      <c r="E1" s="333"/>
      <c r="F1" s="334"/>
    </row>
    <row r="2" spans="1:7" ht="18" customHeight="1">
      <c r="A2" s="333"/>
      <c r="B2" s="337"/>
      <c r="C2" s="337"/>
      <c r="D2" s="337"/>
      <c r="E2" s="337"/>
      <c r="F2" s="338"/>
    </row>
    <row r="3" spans="1:7" ht="14.25" customHeight="1" thickBot="1"/>
    <row r="4" spans="1:7" ht="17.25" customHeight="1" thickBot="1">
      <c r="A4" s="333"/>
      <c r="B4" s="309" t="s">
        <v>251</v>
      </c>
      <c r="C4" s="310"/>
      <c r="D4" s="310"/>
      <c r="E4" s="310"/>
      <c r="F4" s="311"/>
    </row>
    <row r="5" spans="1:7" ht="17.25" customHeight="1">
      <c r="A5" s="333"/>
      <c r="B5" s="339" t="s">
        <v>252</v>
      </c>
      <c r="C5" s="339"/>
      <c r="D5" s="339"/>
      <c r="E5" s="339"/>
      <c r="F5" s="339"/>
      <c r="G5" s="340"/>
    </row>
    <row r="6" spans="1:7">
      <c r="A6" s="333"/>
      <c r="B6" s="339" t="s">
        <v>253</v>
      </c>
      <c r="C6" s="339"/>
      <c r="D6" s="339"/>
      <c r="E6" s="339"/>
      <c r="F6" s="339"/>
      <c r="G6" s="340"/>
    </row>
    <row r="7" spans="1:7" ht="15" thickBot="1">
      <c r="A7" s="333"/>
      <c r="B7" s="341"/>
      <c r="C7" s="341"/>
      <c r="D7" s="341"/>
      <c r="E7" s="341"/>
      <c r="F7" s="333"/>
    </row>
    <row r="8" spans="1:7" ht="44.9" customHeight="1" thickBot="1">
      <c r="A8" s="333"/>
      <c r="B8" s="267" t="s">
        <v>254</v>
      </c>
      <c r="C8" s="342" t="s">
        <v>183</v>
      </c>
      <c r="D8" s="268" t="s">
        <v>184</v>
      </c>
      <c r="E8" s="268" t="s">
        <v>185</v>
      </c>
      <c r="F8" s="268" t="s">
        <v>186</v>
      </c>
    </row>
    <row r="9" spans="1:7">
      <c r="A9" s="333"/>
      <c r="B9" s="343" t="s">
        <v>255</v>
      </c>
      <c r="C9" s="344" t="s">
        <v>207</v>
      </c>
      <c r="D9" s="318">
        <v>420</v>
      </c>
      <c r="E9" s="318">
        <v>395</v>
      </c>
      <c r="F9" s="345">
        <v>-25</v>
      </c>
    </row>
    <row r="10" spans="1:7">
      <c r="A10" s="333"/>
      <c r="B10" s="346" t="s">
        <v>256</v>
      </c>
      <c r="C10" s="347" t="s">
        <v>257</v>
      </c>
      <c r="D10" s="322">
        <v>447</v>
      </c>
      <c r="E10" s="322">
        <v>447</v>
      </c>
      <c r="F10" s="345">
        <v>0</v>
      </c>
    </row>
    <row r="11" spans="1:7">
      <c r="A11" s="333"/>
      <c r="B11" s="346"/>
      <c r="C11" s="347" t="s">
        <v>234</v>
      </c>
      <c r="D11" s="322">
        <v>427</v>
      </c>
      <c r="E11" s="322">
        <v>429</v>
      </c>
      <c r="F11" s="345">
        <v>2</v>
      </c>
    </row>
    <row r="12" spans="1:7">
      <c r="A12" s="333"/>
      <c r="B12" s="346"/>
      <c r="C12" s="347" t="s">
        <v>236</v>
      </c>
      <c r="D12" s="322">
        <v>475</v>
      </c>
      <c r="E12" s="322">
        <v>475</v>
      </c>
      <c r="F12" s="345">
        <v>0</v>
      </c>
    </row>
    <row r="13" spans="1:7">
      <c r="A13" s="333"/>
      <c r="B13" s="346"/>
      <c r="C13" s="347" t="s">
        <v>209</v>
      </c>
      <c r="D13" s="322">
        <v>430</v>
      </c>
      <c r="E13" s="322">
        <v>429</v>
      </c>
      <c r="F13" s="345">
        <v>-1</v>
      </c>
    </row>
    <row r="14" spans="1:7">
      <c r="A14" s="333"/>
      <c r="B14" s="346"/>
      <c r="C14" s="347" t="s">
        <v>243</v>
      </c>
      <c r="D14" s="322">
        <v>418.5</v>
      </c>
      <c r="E14" s="322">
        <v>426.5</v>
      </c>
      <c r="F14" s="345">
        <v>8</v>
      </c>
    </row>
    <row r="15" spans="1:7">
      <c r="A15" s="333"/>
      <c r="B15" s="346"/>
      <c r="C15" s="347" t="s">
        <v>210</v>
      </c>
      <c r="D15" s="322">
        <v>428</v>
      </c>
      <c r="E15" s="322">
        <v>424.5</v>
      </c>
      <c r="F15" s="345">
        <v>-3.5</v>
      </c>
    </row>
    <row r="16" spans="1:7">
      <c r="A16" s="333"/>
      <c r="B16" s="346"/>
      <c r="C16" s="347" t="s">
        <v>258</v>
      </c>
      <c r="D16" s="322">
        <v>401</v>
      </c>
      <c r="E16" s="322">
        <v>408.5</v>
      </c>
      <c r="F16" s="345">
        <v>7.5</v>
      </c>
    </row>
    <row r="17" spans="1:12">
      <c r="A17" s="333"/>
      <c r="B17" s="346"/>
      <c r="C17" s="347" t="s">
        <v>259</v>
      </c>
      <c r="D17" s="322">
        <v>445</v>
      </c>
      <c r="E17" s="322">
        <v>445</v>
      </c>
      <c r="F17" s="345">
        <v>0</v>
      </c>
    </row>
    <row r="18" spans="1:12">
      <c r="A18" s="333"/>
      <c r="B18" s="346"/>
      <c r="C18" s="347" t="s">
        <v>260</v>
      </c>
      <c r="D18" s="322">
        <v>438.5</v>
      </c>
      <c r="E18" s="322">
        <v>426.5</v>
      </c>
      <c r="F18" s="345">
        <v>-12</v>
      </c>
    </row>
    <row r="19" spans="1:12">
      <c r="A19" s="333"/>
      <c r="B19" s="346"/>
      <c r="C19" s="347" t="s">
        <v>261</v>
      </c>
      <c r="D19" s="322">
        <v>421.5</v>
      </c>
      <c r="E19" s="322">
        <v>421.5</v>
      </c>
      <c r="F19" s="345">
        <v>0</v>
      </c>
    </row>
    <row r="20" spans="1:12">
      <c r="A20" s="333"/>
      <c r="B20" s="346"/>
      <c r="C20" s="347" t="s">
        <v>215</v>
      </c>
      <c r="D20" s="322">
        <v>428</v>
      </c>
      <c r="E20" s="322">
        <v>425</v>
      </c>
      <c r="F20" s="345">
        <v>-3</v>
      </c>
    </row>
    <row r="21" spans="1:12">
      <c r="A21" s="333"/>
      <c r="B21" s="346"/>
      <c r="C21" s="347" t="s">
        <v>228</v>
      </c>
      <c r="D21" s="322">
        <v>450</v>
      </c>
      <c r="E21" s="322">
        <v>447.5</v>
      </c>
      <c r="F21" s="345">
        <v>-2.5</v>
      </c>
    </row>
    <row r="22" spans="1:12">
      <c r="A22" s="333"/>
      <c r="B22" s="346"/>
      <c r="C22" s="347" t="s">
        <v>239</v>
      </c>
      <c r="D22" s="322">
        <v>470</v>
      </c>
      <c r="E22" s="322">
        <v>470</v>
      </c>
      <c r="F22" s="345">
        <v>0</v>
      </c>
    </row>
    <row r="23" spans="1:12">
      <c r="A23" s="333"/>
      <c r="B23" s="346"/>
      <c r="C23" s="347" t="s">
        <v>220</v>
      </c>
      <c r="D23" s="322">
        <v>416</v>
      </c>
      <c r="E23" s="322">
        <v>427</v>
      </c>
      <c r="F23" s="345">
        <v>11</v>
      </c>
    </row>
    <row r="24" spans="1:12" ht="15" thickBot="1">
      <c r="A24" s="333"/>
      <c r="B24" s="348"/>
      <c r="C24" s="349" t="s">
        <v>223</v>
      </c>
      <c r="D24" s="350">
        <v>405</v>
      </c>
      <c r="E24" s="350">
        <v>392.5</v>
      </c>
      <c r="F24" s="351">
        <v>-12.5</v>
      </c>
    </row>
    <row r="25" spans="1:12">
      <c r="A25" s="333"/>
      <c r="B25" s="346" t="s">
        <v>262</v>
      </c>
      <c r="C25" s="347" t="s">
        <v>207</v>
      </c>
      <c r="D25" s="352">
        <v>360</v>
      </c>
      <c r="E25" s="352">
        <v>360</v>
      </c>
      <c r="F25" s="345">
        <v>0</v>
      </c>
    </row>
    <row r="26" spans="1:12">
      <c r="A26" s="333"/>
      <c r="B26" s="346" t="s">
        <v>263</v>
      </c>
      <c r="C26" s="347" t="s">
        <v>257</v>
      </c>
      <c r="D26" s="322">
        <v>400</v>
      </c>
      <c r="E26" s="322">
        <v>400</v>
      </c>
      <c r="F26" s="345">
        <v>0</v>
      </c>
    </row>
    <row r="27" spans="1:12">
      <c r="A27" s="333"/>
      <c r="B27" s="346"/>
      <c r="C27" s="347" t="s">
        <v>236</v>
      </c>
      <c r="D27" s="322">
        <v>370</v>
      </c>
      <c r="E27" s="322">
        <v>370</v>
      </c>
      <c r="F27" s="345">
        <v>0</v>
      </c>
    </row>
    <row r="28" spans="1:12" s="335" customFormat="1">
      <c r="A28" s="333"/>
      <c r="B28" s="346"/>
      <c r="C28" s="347" t="s">
        <v>209</v>
      </c>
      <c r="D28" s="322">
        <v>360</v>
      </c>
      <c r="E28" s="322">
        <v>364</v>
      </c>
      <c r="F28" s="345">
        <v>4</v>
      </c>
      <c r="H28" s="336"/>
      <c r="I28" s="336"/>
      <c r="J28" s="336"/>
      <c r="K28" s="336"/>
      <c r="L28" s="336"/>
    </row>
    <row r="29" spans="1:12" s="335" customFormat="1">
      <c r="A29" s="333"/>
      <c r="B29" s="346"/>
      <c r="C29" s="347" t="s">
        <v>243</v>
      </c>
      <c r="D29" s="322">
        <v>331.5</v>
      </c>
      <c r="E29" s="322">
        <v>331.5</v>
      </c>
      <c r="F29" s="345">
        <v>0</v>
      </c>
      <c r="H29" s="336"/>
      <c r="I29" s="336"/>
      <c r="J29" s="336"/>
      <c r="K29" s="336"/>
      <c r="L29" s="336"/>
    </row>
    <row r="30" spans="1:12" s="335" customFormat="1">
      <c r="A30" s="333"/>
      <c r="B30" s="346"/>
      <c r="C30" s="347" t="s">
        <v>210</v>
      </c>
      <c r="D30" s="322">
        <v>346.9</v>
      </c>
      <c r="E30" s="322">
        <v>352.1</v>
      </c>
      <c r="F30" s="345">
        <v>5.2</v>
      </c>
      <c r="H30" s="336"/>
      <c r="I30" s="336"/>
      <c r="J30" s="336"/>
      <c r="K30" s="336"/>
      <c r="L30" s="336"/>
    </row>
    <row r="31" spans="1:12" s="335" customFormat="1">
      <c r="A31" s="333"/>
      <c r="B31" s="346"/>
      <c r="C31" s="347" t="s">
        <v>258</v>
      </c>
      <c r="D31" s="322">
        <v>346.5</v>
      </c>
      <c r="E31" s="322">
        <v>341.5</v>
      </c>
      <c r="F31" s="345">
        <v>-5</v>
      </c>
      <c r="H31" s="336"/>
      <c r="I31" s="336"/>
      <c r="J31" s="336"/>
      <c r="K31" s="336"/>
      <c r="L31" s="336"/>
    </row>
    <row r="32" spans="1:12" s="335" customFormat="1">
      <c r="A32" s="333"/>
      <c r="B32" s="346"/>
      <c r="C32" s="347" t="s">
        <v>260</v>
      </c>
      <c r="D32" s="322">
        <v>371</v>
      </c>
      <c r="E32" s="322">
        <v>366</v>
      </c>
      <c r="F32" s="345">
        <v>-5</v>
      </c>
      <c r="H32" s="336"/>
      <c r="I32" s="336"/>
      <c r="J32" s="336"/>
      <c r="K32" s="336"/>
      <c r="L32" s="336"/>
    </row>
    <row r="33" spans="1:7">
      <c r="A33" s="333"/>
      <c r="B33" s="346"/>
      <c r="C33" s="347" t="s">
        <v>261</v>
      </c>
      <c r="D33" s="322">
        <v>361</v>
      </c>
      <c r="E33" s="322">
        <v>361</v>
      </c>
      <c r="F33" s="345">
        <v>0</v>
      </c>
    </row>
    <row r="34" spans="1:7">
      <c r="A34" s="333"/>
      <c r="B34" s="346"/>
      <c r="C34" s="347" t="s">
        <v>215</v>
      </c>
      <c r="D34" s="322">
        <v>350</v>
      </c>
      <c r="E34" s="322">
        <v>352</v>
      </c>
      <c r="F34" s="345">
        <v>2</v>
      </c>
    </row>
    <row r="35" spans="1:7">
      <c r="A35" s="333"/>
      <c r="B35" s="346"/>
      <c r="C35" s="347" t="s">
        <v>228</v>
      </c>
      <c r="D35" s="322">
        <v>395.5</v>
      </c>
      <c r="E35" s="322">
        <v>395.5</v>
      </c>
      <c r="F35" s="345">
        <v>0</v>
      </c>
    </row>
    <row r="36" spans="1:7">
      <c r="A36" s="333"/>
      <c r="B36" s="346"/>
      <c r="C36" s="347" t="s">
        <v>239</v>
      </c>
      <c r="D36" s="322">
        <v>420</v>
      </c>
      <c r="E36" s="322">
        <v>420</v>
      </c>
      <c r="F36" s="345">
        <v>0</v>
      </c>
    </row>
    <row r="37" spans="1:7">
      <c r="A37" s="333"/>
      <c r="B37" s="346"/>
      <c r="C37" s="347" t="s">
        <v>220</v>
      </c>
      <c r="D37" s="322">
        <v>360</v>
      </c>
      <c r="E37" s="322">
        <v>363</v>
      </c>
      <c r="F37" s="345">
        <v>3</v>
      </c>
    </row>
    <row r="38" spans="1:7" ht="15" thickBot="1">
      <c r="A38" s="333"/>
      <c r="B38" s="348"/>
      <c r="C38" s="347" t="s">
        <v>223</v>
      </c>
      <c r="D38" s="350">
        <v>340</v>
      </c>
      <c r="E38" s="350">
        <v>340</v>
      </c>
      <c r="F38" s="353">
        <v>0</v>
      </c>
    </row>
    <row r="39" spans="1:7">
      <c r="A39" s="333"/>
      <c r="B39" s="346" t="s">
        <v>264</v>
      </c>
      <c r="C39" s="344" t="s">
        <v>207</v>
      </c>
      <c r="D39" s="352">
        <v>315</v>
      </c>
      <c r="E39" s="352">
        <v>320</v>
      </c>
      <c r="F39" s="345">
        <v>5</v>
      </c>
    </row>
    <row r="40" spans="1:7">
      <c r="A40" s="333"/>
      <c r="B40" s="346"/>
      <c r="C40" s="347" t="s">
        <v>234</v>
      </c>
      <c r="D40" s="322">
        <v>309</v>
      </c>
      <c r="E40" s="322">
        <v>291</v>
      </c>
      <c r="F40" s="345">
        <v>-18</v>
      </c>
      <c r="G40" s="336"/>
    </row>
    <row r="41" spans="1:7">
      <c r="A41" s="333"/>
      <c r="B41" s="346"/>
      <c r="C41" s="347" t="s">
        <v>236</v>
      </c>
      <c r="D41" s="322">
        <v>310</v>
      </c>
      <c r="E41" s="322">
        <v>310</v>
      </c>
      <c r="F41" s="345">
        <v>0</v>
      </c>
      <c r="G41" s="336"/>
    </row>
    <row r="42" spans="1:7">
      <c r="A42" s="333"/>
      <c r="B42" s="346"/>
      <c r="C42" s="347" t="s">
        <v>209</v>
      </c>
      <c r="D42" s="322">
        <v>320</v>
      </c>
      <c r="E42" s="322">
        <v>315</v>
      </c>
      <c r="F42" s="345">
        <v>-5</v>
      </c>
      <c r="G42" s="336"/>
    </row>
    <row r="43" spans="1:7">
      <c r="A43" s="333"/>
      <c r="B43" s="346"/>
      <c r="C43" s="347" t="s">
        <v>243</v>
      </c>
      <c r="D43" s="322">
        <v>307.5</v>
      </c>
      <c r="E43" s="322">
        <v>307.5</v>
      </c>
      <c r="F43" s="345">
        <v>0</v>
      </c>
      <c r="G43" s="336"/>
    </row>
    <row r="44" spans="1:7">
      <c r="A44" s="333"/>
      <c r="B44" s="346"/>
      <c r="C44" s="347" t="s">
        <v>210</v>
      </c>
      <c r="D44" s="322">
        <v>317.5</v>
      </c>
      <c r="E44" s="322">
        <v>320.7</v>
      </c>
      <c r="F44" s="345">
        <v>3.2</v>
      </c>
      <c r="G44" s="336"/>
    </row>
    <row r="45" spans="1:7">
      <c r="A45" s="333"/>
      <c r="B45" s="346"/>
      <c r="C45" s="347" t="s">
        <v>258</v>
      </c>
      <c r="D45" s="322">
        <v>298.5</v>
      </c>
      <c r="E45" s="322">
        <v>301.5</v>
      </c>
      <c r="F45" s="345">
        <v>3</v>
      </c>
      <c r="G45" s="336"/>
    </row>
    <row r="46" spans="1:7">
      <c r="A46" s="333"/>
      <c r="B46" s="346"/>
      <c r="C46" s="347" t="s">
        <v>259</v>
      </c>
      <c r="D46" s="322">
        <v>315</v>
      </c>
      <c r="E46" s="322">
        <v>315</v>
      </c>
      <c r="F46" s="345">
        <v>0</v>
      </c>
      <c r="G46" s="336"/>
    </row>
    <row r="47" spans="1:7">
      <c r="A47" s="333"/>
      <c r="B47" s="346"/>
      <c r="C47" s="347" t="s">
        <v>260</v>
      </c>
      <c r="D47" s="322">
        <v>334.5</v>
      </c>
      <c r="E47" s="322">
        <v>329.5</v>
      </c>
      <c r="F47" s="345">
        <v>-5</v>
      </c>
      <c r="G47" s="336"/>
    </row>
    <row r="48" spans="1:7">
      <c r="A48" s="333"/>
      <c r="B48" s="346"/>
      <c r="C48" s="347" t="s">
        <v>261</v>
      </c>
      <c r="D48" s="322">
        <v>321</v>
      </c>
      <c r="E48" s="322">
        <v>321</v>
      </c>
      <c r="F48" s="345">
        <v>0</v>
      </c>
      <c r="G48" s="336"/>
    </row>
    <row r="49" spans="1:7">
      <c r="A49" s="333"/>
      <c r="B49" s="346"/>
      <c r="C49" s="347" t="s">
        <v>215</v>
      </c>
      <c r="D49" s="322">
        <v>317</v>
      </c>
      <c r="E49" s="322">
        <v>320</v>
      </c>
      <c r="F49" s="345">
        <v>3</v>
      </c>
      <c r="G49" s="336"/>
    </row>
    <row r="50" spans="1:7">
      <c r="A50" s="333"/>
      <c r="B50" s="346"/>
      <c r="C50" s="347" t="s">
        <v>228</v>
      </c>
      <c r="D50" s="322">
        <v>355</v>
      </c>
      <c r="E50" s="322">
        <v>355</v>
      </c>
      <c r="F50" s="345">
        <v>0</v>
      </c>
      <c r="G50" s="336"/>
    </row>
    <row r="51" spans="1:7">
      <c r="A51" s="333"/>
      <c r="B51" s="346"/>
      <c r="C51" s="347" t="s">
        <v>239</v>
      </c>
      <c r="D51" s="322">
        <v>290</v>
      </c>
      <c r="E51" s="322">
        <v>290</v>
      </c>
      <c r="F51" s="345">
        <v>0</v>
      </c>
      <c r="G51" s="336"/>
    </row>
    <row r="52" spans="1:7">
      <c r="A52" s="333"/>
      <c r="B52" s="346"/>
      <c r="C52" s="347" t="s">
        <v>220</v>
      </c>
      <c r="D52" s="322">
        <v>305</v>
      </c>
      <c r="E52" s="322">
        <v>320</v>
      </c>
      <c r="F52" s="345">
        <v>15</v>
      </c>
      <c r="G52" s="336"/>
    </row>
    <row r="53" spans="1:7" ht="15" thickBot="1">
      <c r="A53" s="333"/>
      <c r="B53" s="348"/>
      <c r="C53" s="349" t="s">
        <v>223</v>
      </c>
      <c r="D53" s="350">
        <v>310</v>
      </c>
      <c r="E53" s="350">
        <v>310</v>
      </c>
      <c r="F53" s="353">
        <v>0</v>
      </c>
      <c r="G53" s="336"/>
    </row>
    <row r="54" spans="1:7">
      <c r="A54" s="333"/>
      <c r="B54" s="343" t="s">
        <v>265</v>
      </c>
      <c r="C54" s="344" t="s">
        <v>243</v>
      </c>
      <c r="D54" s="352">
        <v>332.5</v>
      </c>
      <c r="E54" s="352">
        <v>332.5</v>
      </c>
      <c r="F54" s="345">
        <v>0</v>
      </c>
      <c r="G54" s="336"/>
    </row>
    <row r="55" spans="1:7">
      <c r="A55" s="333"/>
      <c r="B55" s="346"/>
      <c r="C55" s="347" t="s">
        <v>260</v>
      </c>
      <c r="D55" s="322">
        <v>331</v>
      </c>
      <c r="E55" s="322">
        <v>322</v>
      </c>
      <c r="F55" s="345">
        <v>-9</v>
      </c>
      <c r="G55" s="336"/>
    </row>
    <row r="56" spans="1:7">
      <c r="A56" s="333"/>
      <c r="B56" s="346"/>
      <c r="C56" s="347" t="s">
        <v>228</v>
      </c>
      <c r="D56" s="322">
        <v>343.5</v>
      </c>
      <c r="E56" s="322">
        <v>343.5</v>
      </c>
      <c r="F56" s="345">
        <v>0</v>
      </c>
      <c r="G56" s="336"/>
    </row>
    <row r="57" spans="1:7" ht="15" thickBot="1">
      <c r="A57" s="333"/>
      <c r="B57" s="348"/>
      <c r="C57" s="349" t="s">
        <v>239</v>
      </c>
      <c r="D57" s="350">
        <v>335</v>
      </c>
      <c r="E57" s="350">
        <v>335</v>
      </c>
      <c r="F57" s="353">
        <v>0</v>
      </c>
      <c r="G57" s="336"/>
    </row>
    <row r="58" spans="1:7">
      <c r="A58" s="333"/>
      <c r="B58" s="346" t="s">
        <v>266</v>
      </c>
      <c r="C58" s="354" t="s">
        <v>243</v>
      </c>
      <c r="D58" s="322">
        <v>129</v>
      </c>
      <c r="E58" s="322">
        <v>128.5</v>
      </c>
      <c r="F58" s="345">
        <v>-0.5</v>
      </c>
      <c r="G58" s="336"/>
    </row>
    <row r="59" spans="1:7">
      <c r="A59" s="333"/>
      <c r="B59" s="346"/>
      <c r="C59" s="354" t="s">
        <v>260</v>
      </c>
      <c r="D59" s="322">
        <v>135</v>
      </c>
      <c r="E59" s="322">
        <v>132</v>
      </c>
      <c r="F59" s="345">
        <v>-3</v>
      </c>
      <c r="G59" s="336"/>
    </row>
    <row r="60" spans="1:7">
      <c r="A60" s="333"/>
      <c r="B60" s="346"/>
      <c r="C60" s="354" t="s">
        <v>261</v>
      </c>
      <c r="D60" s="355">
        <v>133</v>
      </c>
      <c r="E60" s="355">
        <v>133</v>
      </c>
      <c r="F60" s="345">
        <v>0</v>
      </c>
      <c r="G60" s="336"/>
    </row>
    <row r="61" spans="1:7">
      <c r="A61" s="333"/>
      <c r="B61" s="346"/>
      <c r="C61" s="354" t="s">
        <v>228</v>
      </c>
      <c r="D61" s="322">
        <v>131.5</v>
      </c>
      <c r="E61" s="322">
        <v>130</v>
      </c>
      <c r="F61" s="345">
        <v>-1.5</v>
      </c>
      <c r="G61" s="336"/>
    </row>
    <row r="62" spans="1:7">
      <c r="A62" s="333"/>
      <c r="B62" s="346"/>
      <c r="C62" s="354" t="s">
        <v>239</v>
      </c>
      <c r="D62" s="322">
        <v>130</v>
      </c>
      <c r="E62" s="322">
        <v>130</v>
      </c>
      <c r="F62" s="345">
        <v>0</v>
      </c>
      <c r="G62" s="336"/>
    </row>
    <row r="63" spans="1:7" ht="15" thickBot="1">
      <c r="A63" s="333"/>
      <c r="B63" s="356"/>
      <c r="C63" s="357" t="s">
        <v>220</v>
      </c>
      <c r="D63" s="322">
        <v>135</v>
      </c>
      <c r="E63" s="322">
        <v>130</v>
      </c>
      <c r="F63" s="353">
        <v>-5</v>
      </c>
      <c r="G63" s="336"/>
    </row>
    <row r="64" spans="1:7" ht="15" thickBot="1">
      <c r="A64" s="333"/>
      <c r="B64" s="358" t="s">
        <v>267</v>
      </c>
      <c r="C64" s="349" t="s">
        <v>228</v>
      </c>
      <c r="D64" s="359">
        <v>202</v>
      </c>
      <c r="E64" s="359">
        <v>200</v>
      </c>
      <c r="F64" s="353">
        <v>-2</v>
      </c>
      <c r="G64" s="336"/>
    </row>
    <row r="65" spans="1:7">
      <c r="A65" s="333"/>
      <c r="B65" s="360" t="s">
        <v>268</v>
      </c>
      <c r="C65" s="361" t="s">
        <v>269</v>
      </c>
      <c r="D65" s="322">
        <v>537.63416186719996</v>
      </c>
      <c r="E65" s="322">
        <v>537.63416186719996</v>
      </c>
      <c r="F65" s="345">
        <v>0</v>
      </c>
      <c r="G65" s="336"/>
    </row>
    <row r="66" spans="1:7">
      <c r="A66" s="333"/>
      <c r="B66" s="360" t="s">
        <v>270</v>
      </c>
      <c r="C66" s="362" t="s">
        <v>271</v>
      </c>
      <c r="D66" s="322">
        <v>537.52509022230004</v>
      </c>
      <c r="E66" s="322">
        <v>537.52509022230004</v>
      </c>
      <c r="F66" s="345">
        <v>0</v>
      </c>
      <c r="G66" s="336"/>
    </row>
    <row r="67" spans="1:7" ht="15" thickBot="1">
      <c r="B67" s="363"/>
      <c r="C67" s="364" t="s">
        <v>272</v>
      </c>
      <c r="D67" s="325">
        <v>578.72788864669997</v>
      </c>
      <c r="E67" s="325">
        <v>578.72788864669997</v>
      </c>
      <c r="F67" s="353">
        <v>0</v>
      </c>
      <c r="G67" s="336"/>
    </row>
    <row r="68" spans="1:7">
      <c r="A68" s="333"/>
      <c r="B68" s="365" t="s">
        <v>268</v>
      </c>
      <c r="C68" s="361" t="s">
        <v>269</v>
      </c>
      <c r="D68" s="322">
        <v>452.95129317129999</v>
      </c>
      <c r="E68" s="322">
        <v>452.95129317129999</v>
      </c>
      <c r="F68" s="345">
        <v>0</v>
      </c>
      <c r="G68" s="336"/>
    </row>
    <row r="69" spans="1:7">
      <c r="A69" s="333"/>
      <c r="B69" s="360" t="s">
        <v>273</v>
      </c>
      <c r="C69" s="362" t="s">
        <v>271</v>
      </c>
      <c r="D69" s="322">
        <v>447.14683238340001</v>
      </c>
      <c r="E69" s="322">
        <v>447.14683238340001</v>
      </c>
      <c r="F69" s="345">
        <v>0</v>
      </c>
      <c r="G69" s="336"/>
    </row>
    <row r="70" spans="1:7" ht="15" thickBot="1">
      <c r="B70" s="363"/>
      <c r="C70" s="364" t="s">
        <v>272</v>
      </c>
      <c r="D70" s="325">
        <v>505.89527439149998</v>
      </c>
      <c r="E70" s="325">
        <v>505.89527439149998</v>
      </c>
      <c r="F70" s="353">
        <v>0</v>
      </c>
      <c r="G70" s="336"/>
    </row>
    <row r="71" spans="1:7">
      <c r="F71" s="173" t="s">
        <v>68</v>
      </c>
      <c r="G71" s="336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4A68C-47C6-4B25-8B5C-5C85F64036BD}">
  <sheetPr>
    <pageSetUpPr fitToPage="1"/>
  </sheetPr>
  <dimension ref="A1:Q70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366" customWidth="1"/>
    <col min="2" max="2" width="23.54296875" style="367" customWidth="1"/>
    <col min="3" max="3" width="13.54296875" style="367" customWidth="1"/>
    <col min="4" max="4" width="40.453125" style="367" customWidth="1"/>
    <col min="5" max="5" width="9.54296875" style="367" customWidth="1"/>
    <col min="6" max="6" width="30.54296875" style="367" customWidth="1"/>
    <col min="7" max="13" width="12.453125" style="367" customWidth="1"/>
    <col min="14" max="14" width="16.54296875" style="367" customWidth="1"/>
    <col min="15" max="15" width="2.54296875" style="368" customWidth="1"/>
    <col min="16" max="16" width="14.453125" style="368" customWidth="1"/>
    <col min="17" max="16384" width="14.453125" style="368"/>
  </cols>
  <sheetData>
    <row r="1" spans="1:17" ht="11.25" customHeight="1"/>
    <row r="2" spans="1:17">
      <c r="J2" s="369"/>
      <c r="K2" s="369"/>
      <c r="L2" s="370"/>
      <c r="M2" s="370"/>
      <c r="N2" s="371"/>
      <c r="O2" s="372"/>
    </row>
    <row r="3" spans="1:17" ht="0.75" customHeight="1">
      <c r="J3" s="369"/>
      <c r="K3" s="369"/>
      <c r="L3" s="370"/>
      <c r="M3" s="370"/>
      <c r="N3" s="370"/>
      <c r="O3" s="372"/>
    </row>
    <row r="4" spans="1:17" ht="27" customHeight="1">
      <c r="B4" s="373" t="s">
        <v>274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4"/>
    </row>
    <row r="5" spans="1:17" ht="26.25" customHeight="1" thickBot="1">
      <c r="B5" s="375" t="s">
        <v>275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7" ht="24.75" customHeight="1">
      <c r="B6" s="377" t="s">
        <v>276</v>
      </c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9"/>
      <c r="O6" s="376"/>
    </row>
    <row r="7" spans="1:17" ht="19.5" customHeight="1" thickBot="1">
      <c r="B7" s="380" t="s">
        <v>277</v>
      </c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2"/>
      <c r="O7" s="376"/>
    </row>
    <row r="8" spans="1:17" ht="16.5" customHeight="1">
      <c r="B8" s="383" t="s">
        <v>278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76"/>
    </row>
    <row r="9" spans="1:17" ht="24.75" customHeight="1">
      <c r="B9" s="384" t="s">
        <v>279</v>
      </c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76"/>
    </row>
    <row r="10" spans="1:17" ht="6" customHeight="1" thickBot="1"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6"/>
    </row>
    <row r="11" spans="1:17" ht="26.15" customHeight="1">
      <c r="B11" s="387" t="s">
        <v>232</v>
      </c>
      <c r="C11" s="388" t="s">
        <v>280</v>
      </c>
      <c r="D11" s="389" t="s">
        <v>281</v>
      </c>
      <c r="E11" s="388" t="s">
        <v>282</v>
      </c>
      <c r="F11" s="389" t="s">
        <v>283</v>
      </c>
      <c r="G11" s="390" t="s">
        <v>284</v>
      </c>
      <c r="H11" s="391"/>
      <c r="I11" s="392"/>
      <c r="J11" s="391" t="s">
        <v>285</v>
      </c>
      <c r="K11" s="391"/>
      <c r="L11" s="393"/>
      <c r="M11" s="393"/>
      <c r="N11" s="394"/>
      <c r="O11" s="395"/>
      <c r="Q11" s="367"/>
    </row>
    <row r="12" spans="1:17" ht="20.149999999999999" customHeight="1">
      <c r="B12" s="396"/>
      <c r="C12" s="397"/>
      <c r="D12" s="398" t="s">
        <v>286</v>
      </c>
      <c r="E12" s="397"/>
      <c r="F12" s="398"/>
      <c r="G12" s="399">
        <v>46104</v>
      </c>
      <c r="H12" s="399">
        <v>46105</v>
      </c>
      <c r="I12" s="399">
        <v>46106</v>
      </c>
      <c r="J12" s="399">
        <v>46107</v>
      </c>
      <c r="K12" s="399">
        <v>46108</v>
      </c>
      <c r="L12" s="399">
        <v>46109</v>
      </c>
      <c r="M12" s="399">
        <v>46110</v>
      </c>
      <c r="N12" s="400" t="s">
        <v>287</v>
      </c>
      <c r="O12" s="401"/>
    </row>
    <row r="13" spans="1:17" s="410" customFormat="1" ht="20.149999999999999" customHeight="1">
      <c r="A13" s="366"/>
      <c r="B13" s="402" t="s">
        <v>288</v>
      </c>
      <c r="C13" s="403" t="s">
        <v>289</v>
      </c>
      <c r="D13" s="404" t="s">
        <v>290</v>
      </c>
      <c r="E13" s="404" t="s">
        <v>291</v>
      </c>
      <c r="F13" s="404" t="s">
        <v>292</v>
      </c>
      <c r="G13" s="405">
        <v>161.29</v>
      </c>
      <c r="H13" s="405">
        <v>159.32</v>
      </c>
      <c r="I13" s="405">
        <v>161.26</v>
      </c>
      <c r="J13" s="405">
        <v>160.33000000000001</v>
      </c>
      <c r="K13" s="406">
        <v>160.34</v>
      </c>
      <c r="L13" s="406" t="s">
        <v>225</v>
      </c>
      <c r="M13" s="407" t="s">
        <v>225</v>
      </c>
      <c r="N13" s="408">
        <v>160.5</v>
      </c>
      <c r="O13" s="409"/>
    </row>
    <row r="14" spans="1:17" s="410" customFormat="1" ht="20.149999999999999" customHeight="1">
      <c r="A14" s="366"/>
      <c r="B14" s="411"/>
      <c r="C14" s="403" t="s">
        <v>293</v>
      </c>
      <c r="D14" s="404" t="s">
        <v>290</v>
      </c>
      <c r="E14" s="404" t="s">
        <v>291</v>
      </c>
      <c r="F14" s="404" t="s">
        <v>292</v>
      </c>
      <c r="G14" s="405">
        <v>151</v>
      </c>
      <c r="H14" s="405">
        <v>150</v>
      </c>
      <c r="I14" s="405">
        <v>149</v>
      </c>
      <c r="J14" s="405">
        <v>152</v>
      </c>
      <c r="K14" s="406">
        <v>150</v>
      </c>
      <c r="L14" s="406" t="s">
        <v>225</v>
      </c>
      <c r="M14" s="407" t="s">
        <v>225</v>
      </c>
      <c r="N14" s="408">
        <v>150.37</v>
      </c>
      <c r="O14" s="409"/>
    </row>
    <row r="15" spans="1:17" s="410" customFormat="1" ht="20.149999999999999" customHeight="1">
      <c r="A15" s="366"/>
      <c r="B15" s="411"/>
      <c r="C15" s="403" t="s">
        <v>294</v>
      </c>
      <c r="D15" s="404" t="s">
        <v>290</v>
      </c>
      <c r="E15" s="404" t="s">
        <v>291</v>
      </c>
      <c r="F15" s="404" t="s">
        <v>292</v>
      </c>
      <c r="G15" s="405">
        <v>170</v>
      </c>
      <c r="H15" s="405">
        <v>171</v>
      </c>
      <c r="I15" s="405">
        <v>169</v>
      </c>
      <c r="J15" s="405">
        <v>170</v>
      </c>
      <c r="K15" s="406">
        <v>170</v>
      </c>
      <c r="L15" s="406" t="s">
        <v>225</v>
      </c>
      <c r="M15" s="407" t="s">
        <v>225</v>
      </c>
      <c r="N15" s="408">
        <v>170</v>
      </c>
      <c r="O15" s="409"/>
    </row>
    <row r="16" spans="1:17" s="410" customFormat="1" ht="20.149999999999999" customHeight="1">
      <c r="A16" s="366"/>
      <c r="B16" s="402" t="s">
        <v>295</v>
      </c>
      <c r="C16" s="403" t="s">
        <v>296</v>
      </c>
      <c r="D16" s="404" t="s">
        <v>297</v>
      </c>
      <c r="E16" s="404" t="s">
        <v>291</v>
      </c>
      <c r="F16" s="404" t="s">
        <v>298</v>
      </c>
      <c r="G16" s="405" t="s">
        <v>225</v>
      </c>
      <c r="H16" s="405">
        <v>130</v>
      </c>
      <c r="I16" s="405" t="s">
        <v>225</v>
      </c>
      <c r="J16" s="405" t="s">
        <v>225</v>
      </c>
      <c r="K16" s="406" t="s">
        <v>225</v>
      </c>
      <c r="L16" s="406" t="s">
        <v>225</v>
      </c>
      <c r="M16" s="407" t="s">
        <v>225</v>
      </c>
      <c r="N16" s="408">
        <v>130</v>
      </c>
      <c r="O16" s="409"/>
    </row>
    <row r="17" spans="1:15" s="410" customFormat="1" ht="20.25" customHeight="1">
      <c r="A17" s="366"/>
      <c r="B17" s="412"/>
      <c r="C17" s="403" t="s">
        <v>299</v>
      </c>
      <c r="D17" s="404" t="s">
        <v>300</v>
      </c>
      <c r="E17" s="404" t="s">
        <v>291</v>
      </c>
      <c r="F17" s="404" t="s">
        <v>298</v>
      </c>
      <c r="G17" s="405">
        <v>105</v>
      </c>
      <c r="H17" s="405">
        <v>135.06</v>
      </c>
      <c r="I17" s="405">
        <v>129.58000000000001</v>
      </c>
      <c r="J17" s="405">
        <v>147.76</v>
      </c>
      <c r="K17" s="406">
        <v>105</v>
      </c>
      <c r="L17" s="406">
        <v>138.30000000000001</v>
      </c>
      <c r="M17" s="407" t="s">
        <v>225</v>
      </c>
      <c r="N17" s="408">
        <v>136.93</v>
      </c>
      <c r="O17" s="409"/>
    </row>
    <row r="18" spans="1:15" s="410" customFormat="1" ht="20.25" customHeight="1">
      <c r="A18" s="366"/>
      <c r="B18" s="412"/>
      <c r="C18" s="403" t="s">
        <v>296</v>
      </c>
      <c r="D18" s="404" t="s">
        <v>300</v>
      </c>
      <c r="E18" s="404" t="s">
        <v>291</v>
      </c>
      <c r="F18" s="404" t="s">
        <v>298</v>
      </c>
      <c r="G18" s="405" t="s">
        <v>225</v>
      </c>
      <c r="H18" s="405" t="s">
        <v>225</v>
      </c>
      <c r="I18" s="405" t="s">
        <v>225</v>
      </c>
      <c r="J18" s="405" t="s">
        <v>225</v>
      </c>
      <c r="K18" s="406">
        <v>168.04</v>
      </c>
      <c r="L18" s="406" t="s">
        <v>225</v>
      </c>
      <c r="M18" s="407" t="s">
        <v>225</v>
      </c>
      <c r="N18" s="408">
        <v>168.04</v>
      </c>
      <c r="O18" s="409"/>
    </row>
    <row r="19" spans="1:15" s="410" customFormat="1" ht="20.25" customHeight="1">
      <c r="A19" s="366"/>
      <c r="B19" s="411"/>
      <c r="C19" s="403" t="s">
        <v>299</v>
      </c>
      <c r="D19" s="404" t="s">
        <v>301</v>
      </c>
      <c r="E19" s="404" t="s">
        <v>291</v>
      </c>
      <c r="F19" s="404" t="s">
        <v>298</v>
      </c>
      <c r="G19" s="405">
        <v>143.96</v>
      </c>
      <c r="H19" s="405">
        <v>136.09</v>
      </c>
      <c r="I19" s="405">
        <v>137.46</v>
      </c>
      <c r="J19" s="405">
        <v>147.53</v>
      </c>
      <c r="K19" s="406">
        <v>145.76</v>
      </c>
      <c r="L19" s="406">
        <v>159.94999999999999</v>
      </c>
      <c r="M19" s="407" t="s">
        <v>225</v>
      </c>
      <c r="N19" s="408">
        <v>140.04</v>
      </c>
      <c r="O19" s="409"/>
    </row>
    <row r="20" spans="1:15" s="410" customFormat="1" ht="20.25" customHeight="1">
      <c r="A20" s="366"/>
      <c r="B20" s="411"/>
      <c r="C20" s="403" t="s">
        <v>296</v>
      </c>
      <c r="D20" s="404" t="s">
        <v>301</v>
      </c>
      <c r="E20" s="404" t="s">
        <v>291</v>
      </c>
      <c r="F20" s="404" t="s">
        <v>298</v>
      </c>
      <c r="G20" s="405">
        <v>160.37</v>
      </c>
      <c r="H20" s="405">
        <v>161.13</v>
      </c>
      <c r="I20" s="405">
        <v>159.63999999999999</v>
      </c>
      <c r="J20" s="405">
        <v>157.06</v>
      </c>
      <c r="K20" s="406">
        <v>134.41</v>
      </c>
      <c r="L20" s="406">
        <v>165.87</v>
      </c>
      <c r="M20" s="407" t="s">
        <v>225</v>
      </c>
      <c r="N20" s="408">
        <v>137.12</v>
      </c>
      <c r="O20" s="409"/>
    </row>
    <row r="21" spans="1:15" s="410" customFormat="1" ht="20.25" customHeight="1">
      <c r="A21" s="366"/>
      <c r="B21" s="411"/>
      <c r="C21" s="403" t="s">
        <v>296</v>
      </c>
      <c r="D21" s="404" t="s">
        <v>302</v>
      </c>
      <c r="E21" s="404" t="s">
        <v>291</v>
      </c>
      <c r="F21" s="404" t="s">
        <v>303</v>
      </c>
      <c r="G21" s="405">
        <v>174.23</v>
      </c>
      <c r="H21" s="405">
        <v>181.27</v>
      </c>
      <c r="I21" s="405">
        <v>172.46</v>
      </c>
      <c r="J21" s="405">
        <v>174.72</v>
      </c>
      <c r="K21" s="406">
        <v>185.11</v>
      </c>
      <c r="L21" s="406">
        <v>165.11</v>
      </c>
      <c r="M21" s="407" t="s">
        <v>225</v>
      </c>
      <c r="N21" s="408">
        <v>183.92</v>
      </c>
      <c r="O21" s="409"/>
    </row>
    <row r="22" spans="1:15" s="410" customFormat="1" ht="20.25" customHeight="1">
      <c r="A22" s="366"/>
      <c r="B22" s="411"/>
      <c r="C22" s="403" t="s">
        <v>299</v>
      </c>
      <c r="D22" s="404" t="s">
        <v>304</v>
      </c>
      <c r="E22" s="404" t="s">
        <v>291</v>
      </c>
      <c r="F22" s="404" t="s">
        <v>303</v>
      </c>
      <c r="G22" s="405">
        <v>130.83000000000001</v>
      </c>
      <c r="H22" s="405">
        <v>119.26</v>
      </c>
      <c r="I22" s="405">
        <v>130.83000000000001</v>
      </c>
      <c r="J22" s="405">
        <v>130.83000000000001</v>
      </c>
      <c r="K22" s="406">
        <v>130.83000000000001</v>
      </c>
      <c r="L22" s="406" t="s">
        <v>225</v>
      </c>
      <c r="M22" s="407" t="s">
        <v>225</v>
      </c>
      <c r="N22" s="408">
        <v>124</v>
      </c>
      <c r="O22" s="409"/>
    </row>
    <row r="23" spans="1:15" s="410" customFormat="1" ht="20.25" customHeight="1">
      <c r="A23" s="366"/>
      <c r="B23" s="411"/>
      <c r="C23" s="403" t="s">
        <v>296</v>
      </c>
      <c r="D23" s="404" t="s">
        <v>304</v>
      </c>
      <c r="E23" s="404" t="s">
        <v>291</v>
      </c>
      <c r="F23" s="404" t="s">
        <v>303</v>
      </c>
      <c r="G23" s="405">
        <v>111.6</v>
      </c>
      <c r="H23" s="405">
        <v>111.6</v>
      </c>
      <c r="I23" s="405">
        <v>111.6</v>
      </c>
      <c r="J23" s="405">
        <v>111.6</v>
      </c>
      <c r="K23" s="406">
        <v>99.08</v>
      </c>
      <c r="L23" s="406" t="s">
        <v>225</v>
      </c>
      <c r="M23" s="407" t="s">
        <v>225</v>
      </c>
      <c r="N23" s="408">
        <v>99.25</v>
      </c>
      <c r="O23" s="409"/>
    </row>
    <row r="24" spans="1:15" s="410" customFormat="1" ht="20.25" customHeight="1">
      <c r="A24" s="366"/>
      <c r="B24" s="411"/>
      <c r="C24" s="403" t="s">
        <v>299</v>
      </c>
      <c r="D24" s="404" t="s">
        <v>305</v>
      </c>
      <c r="E24" s="404" t="s">
        <v>291</v>
      </c>
      <c r="F24" s="404" t="s">
        <v>298</v>
      </c>
      <c r="G24" s="405">
        <v>143.08000000000001</v>
      </c>
      <c r="H24" s="405">
        <v>130.94</v>
      </c>
      <c r="I24" s="405">
        <v>143.08000000000001</v>
      </c>
      <c r="J24" s="405">
        <v>144.94999999999999</v>
      </c>
      <c r="K24" s="406">
        <v>160.80000000000001</v>
      </c>
      <c r="L24" s="406">
        <v>159.94999999999999</v>
      </c>
      <c r="M24" s="407" t="s">
        <v>225</v>
      </c>
      <c r="N24" s="408">
        <v>137.57</v>
      </c>
      <c r="O24" s="409"/>
    </row>
    <row r="25" spans="1:15" s="410" customFormat="1" ht="20.25" customHeight="1">
      <c r="A25" s="366"/>
      <c r="B25" s="411"/>
      <c r="C25" s="403" t="s">
        <v>296</v>
      </c>
      <c r="D25" s="404" t="s">
        <v>305</v>
      </c>
      <c r="E25" s="404" t="s">
        <v>291</v>
      </c>
      <c r="F25" s="404" t="s">
        <v>298</v>
      </c>
      <c r="G25" s="405">
        <v>153.16</v>
      </c>
      <c r="H25" s="405">
        <v>153.21</v>
      </c>
      <c r="I25" s="405">
        <v>143.09</v>
      </c>
      <c r="J25" s="405">
        <v>141.47999999999999</v>
      </c>
      <c r="K25" s="406">
        <v>147.81</v>
      </c>
      <c r="L25" s="406">
        <v>125.96</v>
      </c>
      <c r="M25" s="407" t="s">
        <v>225</v>
      </c>
      <c r="N25" s="408">
        <v>145.99</v>
      </c>
      <c r="O25" s="409"/>
    </row>
    <row r="26" spans="1:15" s="410" customFormat="1" ht="20.25" customHeight="1">
      <c r="A26" s="366"/>
      <c r="B26" s="402" t="s">
        <v>306</v>
      </c>
      <c r="C26" s="403" t="s">
        <v>299</v>
      </c>
      <c r="D26" s="404" t="s">
        <v>307</v>
      </c>
      <c r="E26" s="404" t="s">
        <v>291</v>
      </c>
      <c r="F26" s="404" t="s">
        <v>308</v>
      </c>
      <c r="G26" s="405">
        <v>115.08</v>
      </c>
      <c r="H26" s="405">
        <v>105.92</v>
      </c>
      <c r="I26" s="405">
        <v>115.08</v>
      </c>
      <c r="J26" s="405">
        <v>114.24</v>
      </c>
      <c r="K26" s="406">
        <v>114.41</v>
      </c>
      <c r="L26" s="406" t="s">
        <v>225</v>
      </c>
      <c r="M26" s="407" t="s">
        <v>225</v>
      </c>
      <c r="N26" s="408">
        <v>111.06</v>
      </c>
      <c r="O26" s="409"/>
    </row>
    <row r="27" spans="1:15" s="410" customFormat="1" ht="20.25" customHeight="1">
      <c r="A27" s="366"/>
      <c r="B27" s="411"/>
      <c r="C27" s="403" t="s">
        <v>309</v>
      </c>
      <c r="D27" s="404" t="s">
        <v>307</v>
      </c>
      <c r="E27" s="404" t="s">
        <v>291</v>
      </c>
      <c r="F27" s="404" t="s">
        <v>308</v>
      </c>
      <c r="G27" s="405">
        <v>92</v>
      </c>
      <c r="H27" s="405">
        <v>92</v>
      </c>
      <c r="I27" s="405">
        <v>92</v>
      </c>
      <c r="J27" s="405">
        <v>92</v>
      </c>
      <c r="K27" s="406">
        <v>92</v>
      </c>
      <c r="L27" s="406" t="s">
        <v>225</v>
      </c>
      <c r="M27" s="407" t="s">
        <v>225</v>
      </c>
      <c r="N27" s="408">
        <v>92</v>
      </c>
      <c r="O27" s="409"/>
    </row>
    <row r="28" spans="1:15" s="410" customFormat="1" ht="20.25" customHeight="1">
      <c r="A28" s="366"/>
      <c r="B28" s="411"/>
      <c r="C28" s="403" t="s">
        <v>310</v>
      </c>
      <c r="D28" s="404" t="s">
        <v>307</v>
      </c>
      <c r="E28" s="404" t="s">
        <v>291</v>
      </c>
      <c r="F28" s="404" t="s">
        <v>308</v>
      </c>
      <c r="G28" s="405">
        <v>90</v>
      </c>
      <c r="H28" s="405">
        <v>90</v>
      </c>
      <c r="I28" s="405">
        <v>90</v>
      </c>
      <c r="J28" s="405">
        <v>90</v>
      </c>
      <c r="K28" s="406">
        <v>90</v>
      </c>
      <c r="L28" s="406" t="s">
        <v>225</v>
      </c>
      <c r="M28" s="407" t="s">
        <v>225</v>
      </c>
      <c r="N28" s="408">
        <v>90</v>
      </c>
      <c r="O28" s="409"/>
    </row>
    <row r="29" spans="1:15" s="410" customFormat="1" ht="20.25" customHeight="1">
      <c r="A29" s="366"/>
      <c r="B29" s="411"/>
      <c r="C29" s="403" t="s">
        <v>311</v>
      </c>
      <c r="D29" s="404" t="s">
        <v>307</v>
      </c>
      <c r="E29" s="404" t="s">
        <v>291</v>
      </c>
      <c r="F29" s="404" t="s">
        <v>308</v>
      </c>
      <c r="G29" s="405">
        <v>90</v>
      </c>
      <c r="H29" s="405">
        <v>90</v>
      </c>
      <c r="I29" s="405">
        <v>90</v>
      </c>
      <c r="J29" s="405">
        <v>90</v>
      </c>
      <c r="K29" s="406">
        <v>90</v>
      </c>
      <c r="L29" s="406" t="s">
        <v>225</v>
      </c>
      <c r="M29" s="407" t="s">
        <v>225</v>
      </c>
      <c r="N29" s="408">
        <v>90</v>
      </c>
      <c r="O29" s="409"/>
    </row>
    <row r="30" spans="1:15" s="410" customFormat="1" ht="20.25" customHeight="1">
      <c r="A30" s="366"/>
      <c r="B30" s="411"/>
      <c r="C30" s="403" t="s">
        <v>296</v>
      </c>
      <c r="D30" s="404" t="s">
        <v>307</v>
      </c>
      <c r="E30" s="404" t="s">
        <v>291</v>
      </c>
      <c r="F30" s="404" t="s">
        <v>308</v>
      </c>
      <c r="G30" s="405">
        <v>78.3</v>
      </c>
      <c r="H30" s="405">
        <v>80.69</v>
      </c>
      <c r="I30" s="405">
        <v>79.86</v>
      </c>
      <c r="J30" s="405">
        <v>79.44</v>
      </c>
      <c r="K30" s="406">
        <v>84.67</v>
      </c>
      <c r="L30" s="406">
        <v>89.19</v>
      </c>
      <c r="M30" s="407">
        <v>95.1</v>
      </c>
      <c r="N30" s="408">
        <v>81.790000000000006</v>
      </c>
      <c r="O30" s="409"/>
    </row>
    <row r="31" spans="1:15" s="410" customFormat="1" ht="20.25" customHeight="1">
      <c r="A31" s="366"/>
      <c r="B31" s="411"/>
      <c r="C31" s="403" t="s">
        <v>299</v>
      </c>
      <c r="D31" s="404" t="s">
        <v>312</v>
      </c>
      <c r="E31" s="404" t="s">
        <v>291</v>
      </c>
      <c r="F31" s="404" t="s">
        <v>308</v>
      </c>
      <c r="G31" s="405">
        <v>92.67</v>
      </c>
      <c r="H31" s="405">
        <v>92.98</v>
      </c>
      <c r="I31" s="405">
        <v>92.67</v>
      </c>
      <c r="J31" s="405">
        <v>92.67</v>
      </c>
      <c r="K31" s="406">
        <v>92.67</v>
      </c>
      <c r="L31" s="406" t="s">
        <v>225</v>
      </c>
      <c r="M31" s="407" t="s">
        <v>225</v>
      </c>
      <c r="N31" s="408">
        <v>92.86</v>
      </c>
      <c r="O31" s="409"/>
    </row>
    <row r="32" spans="1:15" s="410" customFormat="1" ht="20.25" customHeight="1">
      <c r="A32" s="366"/>
      <c r="B32" s="411"/>
      <c r="C32" s="403" t="s">
        <v>296</v>
      </c>
      <c r="D32" s="404" t="s">
        <v>312</v>
      </c>
      <c r="E32" s="404" t="s">
        <v>291</v>
      </c>
      <c r="F32" s="404" t="s">
        <v>308</v>
      </c>
      <c r="G32" s="405">
        <v>82.78</v>
      </c>
      <c r="H32" s="405">
        <v>72.34</v>
      </c>
      <c r="I32" s="405">
        <v>71.02</v>
      </c>
      <c r="J32" s="405">
        <v>77.97</v>
      </c>
      <c r="K32" s="406">
        <v>79.06</v>
      </c>
      <c r="L32" s="406">
        <v>66</v>
      </c>
      <c r="M32" s="407">
        <v>77.510000000000005</v>
      </c>
      <c r="N32" s="408">
        <v>73</v>
      </c>
      <c r="O32" s="409"/>
    </row>
    <row r="33" spans="1:15" s="410" customFormat="1" ht="20.25" customHeight="1">
      <c r="A33" s="366"/>
      <c r="B33" s="411"/>
      <c r="C33" s="403" t="s">
        <v>299</v>
      </c>
      <c r="D33" s="404" t="s">
        <v>313</v>
      </c>
      <c r="E33" s="404" t="s">
        <v>291</v>
      </c>
      <c r="F33" s="404" t="s">
        <v>308</v>
      </c>
      <c r="G33" s="405">
        <v>95</v>
      </c>
      <c r="H33" s="405">
        <v>114.88</v>
      </c>
      <c r="I33" s="405">
        <v>95</v>
      </c>
      <c r="J33" s="405">
        <v>95</v>
      </c>
      <c r="K33" s="406">
        <v>95</v>
      </c>
      <c r="L33" s="406" t="s">
        <v>225</v>
      </c>
      <c r="M33" s="407" t="s">
        <v>225</v>
      </c>
      <c r="N33" s="408">
        <v>109.55</v>
      </c>
      <c r="O33" s="409"/>
    </row>
    <row r="34" spans="1:15" s="410" customFormat="1" ht="20.25" customHeight="1">
      <c r="A34" s="366"/>
      <c r="B34" s="411"/>
      <c r="C34" s="403" t="s">
        <v>296</v>
      </c>
      <c r="D34" s="404" t="s">
        <v>313</v>
      </c>
      <c r="E34" s="404" t="s">
        <v>291</v>
      </c>
      <c r="F34" s="404" t="s">
        <v>308</v>
      </c>
      <c r="G34" s="405">
        <v>98.57</v>
      </c>
      <c r="H34" s="405">
        <v>105.09</v>
      </c>
      <c r="I34" s="405">
        <v>104.01</v>
      </c>
      <c r="J34" s="405">
        <v>102.54</v>
      </c>
      <c r="K34" s="406">
        <v>80.92</v>
      </c>
      <c r="L34" s="406">
        <v>113.54</v>
      </c>
      <c r="M34" s="407">
        <v>93.42</v>
      </c>
      <c r="N34" s="408">
        <v>83.72</v>
      </c>
      <c r="O34" s="409"/>
    </row>
    <row r="35" spans="1:15" s="410" customFormat="1" ht="20.25" customHeight="1">
      <c r="A35" s="366"/>
      <c r="B35" s="411"/>
      <c r="C35" s="403" t="s">
        <v>296</v>
      </c>
      <c r="D35" s="404" t="s">
        <v>314</v>
      </c>
      <c r="E35" s="404" t="s">
        <v>291</v>
      </c>
      <c r="F35" s="404" t="s">
        <v>308</v>
      </c>
      <c r="G35" s="405" t="s">
        <v>225</v>
      </c>
      <c r="H35" s="405" t="s">
        <v>225</v>
      </c>
      <c r="I35" s="405" t="s">
        <v>225</v>
      </c>
      <c r="J35" s="405" t="s">
        <v>225</v>
      </c>
      <c r="K35" s="406">
        <v>91.92</v>
      </c>
      <c r="L35" s="406" t="s">
        <v>225</v>
      </c>
      <c r="M35" s="407" t="s">
        <v>225</v>
      </c>
      <c r="N35" s="408">
        <v>91.92</v>
      </c>
      <c r="O35" s="409"/>
    </row>
    <row r="36" spans="1:15" s="410" customFormat="1" ht="20.25" customHeight="1">
      <c r="A36" s="366"/>
      <c r="B36" s="411"/>
      <c r="C36" s="403" t="s">
        <v>310</v>
      </c>
      <c r="D36" s="404" t="s">
        <v>315</v>
      </c>
      <c r="E36" s="404" t="s">
        <v>291</v>
      </c>
      <c r="F36" s="404" t="s">
        <v>308</v>
      </c>
      <c r="G36" s="405">
        <v>104</v>
      </c>
      <c r="H36" s="405">
        <v>104</v>
      </c>
      <c r="I36" s="405">
        <v>104</v>
      </c>
      <c r="J36" s="405">
        <v>104</v>
      </c>
      <c r="K36" s="406">
        <v>104</v>
      </c>
      <c r="L36" s="406" t="s">
        <v>225</v>
      </c>
      <c r="M36" s="407" t="s">
        <v>225</v>
      </c>
      <c r="N36" s="408">
        <v>104</v>
      </c>
      <c r="O36" s="409"/>
    </row>
    <row r="37" spans="1:15" s="410" customFormat="1" ht="20.25" customHeight="1">
      <c r="A37" s="366"/>
      <c r="B37" s="411"/>
      <c r="C37" s="403" t="s">
        <v>311</v>
      </c>
      <c r="D37" s="404" t="s">
        <v>315</v>
      </c>
      <c r="E37" s="404" t="s">
        <v>291</v>
      </c>
      <c r="F37" s="404" t="s">
        <v>308</v>
      </c>
      <c r="G37" s="405">
        <v>100</v>
      </c>
      <c r="H37" s="405">
        <v>100</v>
      </c>
      <c r="I37" s="405">
        <v>100</v>
      </c>
      <c r="J37" s="405">
        <v>100</v>
      </c>
      <c r="K37" s="406">
        <v>100</v>
      </c>
      <c r="L37" s="406" t="s">
        <v>225</v>
      </c>
      <c r="M37" s="407" t="s">
        <v>225</v>
      </c>
      <c r="N37" s="408">
        <v>100</v>
      </c>
      <c r="O37" s="409"/>
    </row>
    <row r="38" spans="1:15" s="410" customFormat="1" ht="20.25" customHeight="1" thickBot="1">
      <c r="A38" s="366"/>
      <c r="B38" s="413"/>
      <c r="C38" s="414" t="s">
        <v>296</v>
      </c>
      <c r="D38" s="415" t="s">
        <v>315</v>
      </c>
      <c r="E38" s="415" t="s">
        <v>291</v>
      </c>
      <c r="F38" s="415" t="s">
        <v>308</v>
      </c>
      <c r="G38" s="416">
        <v>80</v>
      </c>
      <c r="H38" s="416">
        <v>80</v>
      </c>
      <c r="I38" s="416">
        <v>80</v>
      </c>
      <c r="J38" s="416">
        <v>80</v>
      </c>
      <c r="K38" s="417">
        <v>79.319999999999993</v>
      </c>
      <c r="L38" s="417" t="s">
        <v>225</v>
      </c>
      <c r="M38" s="418" t="s">
        <v>225</v>
      </c>
      <c r="N38" s="419">
        <v>79.59</v>
      </c>
      <c r="O38" s="409"/>
    </row>
    <row r="39" spans="1:15" ht="16.5" customHeight="1">
      <c r="B39" s="420"/>
      <c r="C39" s="420"/>
      <c r="D39" s="420"/>
      <c r="E39" s="420"/>
      <c r="F39" s="420"/>
      <c r="G39" s="420"/>
      <c r="H39" s="420"/>
      <c r="I39" s="420"/>
      <c r="J39" s="420"/>
      <c r="K39" s="420"/>
      <c r="L39" s="420"/>
      <c r="M39" s="420"/>
      <c r="N39" s="420"/>
      <c r="O39" s="376"/>
    </row>
    <row r="40" spans="1:15" ht="15" customHeight="1">
      <c r="B40" s="384" t="s">
        <v>316</v>
      </c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6"/>
    </row>
    <row r="41" spans="1:15" ht="4.5" customHeight="1" thickBot="1">
      <c r="B41" s="421"/>
    </row>
    <row r="42" spans="1:15" ht="27" customHeight="1">
      <c r="B42" s="387" t="s">
        <v>232</v>
      </c>
      <c r="C42" s="388" t="s">
        <v>280</v>
      </c>
      <c r="D42" s="389" t="s">
        <v>281</v>
      </c>
      <c r="E42" s="388" t="s">
        <v>282</v>
      </c>
      <c r="F42" s="389" t="s">
        <v>283</v>
      </c>
      <c r="G42" s="422" t="s">
        <v>284</v>
      </c>
      <c r="H42" s="393"/>
      <c r="I42" s="423"/>
      <c r="J42" s="393" t="s">
        <v>285</v>
      </c>
      <c r="K42" s="393"/>
      <c r="L42" s="393"/>
      <c r="M42" s="393"/>
      <c r="N42" s="424"/>
      <c r="O42" s="395"/>
    </row>
    <row r="43" spans="1:15" s="410" customFormat="1" ht="20.149999999999999" customHeight="1">
      <c r="A43" s="366"/>
      <c r="B43" s="425"/>
      <c r="C43" s="426"/>
      <c r="D43" s="427" t="s">
        <v>286</v>
      </c>
      <c r="E43" s="426"/>
      <c r="F43" s="427"/>
      <c r="G43" s="428">
        <v>46104</v>
      </c>
      <c r="H43" s="428">
        <v>46105</v>
      </c>
      <c r="I43" s="428">
        <v>46106</v>
      </c>
      <c r="J43" s="428">
        <v>46107</v>
      </c>
      <c r="K43" s="428">
        <v>46108</v>
      </c>
      <c r="L43" s="428">
        <v>46109</v>
      </c>
      <c r="M43" s="429">
        <v>46110</v>
      </c>
      <c r="N43" s="430" t="s">
        <v>287</v>
      </c>
      <c r="O43" s="409"/>
    </row>
    <row r="44" spans="1:15" s="410" customFormat="1" ht="20.149999999999999" customHeight="1">
      <c r="A44" s="366"/>
      <c r="B44" s="402" t="s">
        <v>317</v>
      </c>
      <c r="C44" s="403" t="s">
        <v>318</v>
      </c>
      <c r="D44" s="404" t="s">
        <v>319</v>
      </c>
      <c r="E44" s="404" t="s">
        <v>291</v>
      </c>
      <c r="F44" s="404" t="s">
        <v>320</v>
      </c>
      <c r="G44" s="431">
        <v>143.53</v>
      </c>
      <c r="H44" s="431">
        <v>143.53</v>
      </c>
      <c r="I44" s="431">
        <v>143.53</v>
      </c>
      <c r="J44" s="431">
        <v>143.53</v>
      </c>
      <c r="K44" s="431">
        <v>143.53</v>
      </c>
      <c r="L44" s="431" t="s">
        <v>225</v>
      </c>
      <c r="M44" s="432" t="s">
        <v>225</v>
      </c>
      <c r="N44" s="433">
        <v>143.53</v>
      </c>
      <c r="O44" s="409"/>
    </row>
    <row r="45" spans="1:15" s="410" customFormat="1" ht="20.149999999999999" customHeight="1">
      <c r="A45" s="366"/>
      <c r="B45" s="411"/>
      <c r="C45" s="434" t="s">
        <v>321</v>
      </c>
      <c r="D45" s="435" t="s">
        <v>319</v>
      </c>
      <c r="E45" s="435" t="s">
        <v>291</v>
      </c>
      <c r="F45" s="435" t="s">
        <v>320</v>
      </c>
      <c r="G45" s="436">
        <v>100</v>
      </c>
      <c r="H45" s="436">
        <v>100</v>
      </c>
      <c r="I45" s="436">
        <v>100</v>
      </c>
      <c r="J45" s="436">
        <v>100</v>
      </c>
      <c r="K45" s="436">
        <v>100</v>
      </c>
      <c r="L45" s="436" t="s">
        <v>225</v>
      </c>
      <c r="M45" s="437" t="s">
        <v>225</v>
      </c>
      <c r="N45" s="438">
        <v>100</v>
      </c>
      <c r="O45" s="439"/>
    </row>
    <row r="46" spans="1:15" s="410" customFormat="1" ht="20.149999999999999" customHeight="1">
      <c r="A46" s="366"/>
      <c r="B46" s="411"/>
      <c r="C46" s="434" t="s">
        <v>322</v>
      </c>
      <c r="D46" s="435" t="s">
        <v>319</v>
      </c>
      <c r="E46" s="435" t="s">
        <v>291</v>
      </c>
      <c r="F46" s="435" t="s">
        <v>320</v>
      </c>
      <c r="G46" s="436">
        <v>140.5</v>
      </c>
      <c r="H46" s="436">
        <v>140.5</v>
      </c>
      <c r="I46" s="436">
        <v>140.5</v>
      </c>
      <c r="J46" s="436">
        <v>140.5</v>
      </c>
      <c r="K46" s="436">
        <v>140.5</v>
      </c>
      <c r="L46" s="436" t="s">
        <v>225</v>
      </c>
      <c r="M46" s="437" t="s">
        <v>225</v>
      </c>
      <c r="N46" s="438">
        <v>140.5</v>
      </c>
      <c r="O46" s="439"/>
    </row>
    <row r="47" spans="1:15" s="410" customFormat="1" ht="20.149999999999999" customHeight="1">
      <c r="A47" s="366"/>
      <c r="B47" s="411"/>
      <c r="C47" s="434" t="s">
        <v>318</v>
      </c>
      <c r="D47" s="435" t="s">
        <v>323</v>
      </c>
      <c r="E47" s="435" t="s">
        <v>291</v>
      </c>
      <c r="F47" s="435" t="s">
        <v>320</v>
      </c>
      <c r="G47" s="440">
        <v>140</v>
      </c>
      <c r="H47" s="440">
        <v>140</v>
      </c>
      <c r="I47" s="440">
        <v>140</v>
      </c>
      <c r="J47" s="440">
        <v>140</v>
      </c>
      <c r="K47" s="440">
        <v>140</v>
      </c>
      <c r="L47" s="440" t="s">
        <v>225</v>
      </c>
      <c r="M47" s="441" t="s">
        <v>225</v>
      </c>
      <c r="N47" s="438">
        <v>140</v>
      </c>
      <c r="O47" s="439"/>
    </row>
    <row r="48" spans="1:15" s="410" customFormat="1" ht="20.149999999999999" customHeight="1">
      <c r="A48" s="366"/>
      <c r="B48" s="411"/>
      <c r="C48" s="434" t="s">
        <v>318</v>
      </c>
      <c r="D48" s="435" t="s">
        <v>324</v>
      </c>
      <c r="E48" s="435" t="s">
        <v>291</v>
      </c>
      <c r="F48" s="435" t="s">
        <v>320</v>
      </c>
      <c r="G48" s="440">
        <v>127.8</v>
      </c>
      <c r="H48" s="440">
        <v>127.8</v>
      </c>
      <c r="I48" s="440">
        <v>127.8</v>
      </c>
      <c r="J48" s="440">
        <v>127.8</v>
      </c>
      <c r="K48" s="440">
        <v>127.8</v>
      </c>
      <c r="L48" s="440" t="s">
        <v>225</v>
      </c>
      <c r="M48" s="441" t="s">
        <v>225</v>
      </c>
      <c r="N48" s="438">
        <v>127.81</v>
      </c>
      <c r="O48" s="439"/>
    </row>
    <row r="49" spans="1:15" s="410" customFormat="1" ht="20.25" customHeight="1">
      <c r="A49" s="366"/>
      <c r="B49" s="411"/>
      <c r="C49" s="434" t="s">
        <v>321</v>
      </c>
      <c r="D49" s="435" t="s">
        <v>324</v>
      </c>
      <c r="E49" s="435" t="s">
        <v>291</v>
      </c>
      <c r="F49" s="435" t="s">
        <v>320</v>
      </c>
      <c r="G49" s="440">
        <v>106.33</v>
      </c>
      <c r="H49" s="440">
        <v>106.33</v>
      </c>
      <c r="I49" s="440">
        <v>106.33</v>
      </c>
      <c r="J49" s="440">
        <v>106.33</v>
      </c>
      <c r="K49" s="440">
        <v>106.33</v>
      </c>
      <c r="L49" s="440" t="s">
        <v>225</v>
      </c>
      <c r="M49" s="441" t="s">
        <v>225</v>
      </c>
      <c r="N49" s="438">
        <v>106.33</v>
      </c>
      <c r="O49" s="439"/>
    </row>
    <row r="50" spans="1:15" s="410" customFormat="1" ht="20.25" customHeight="1">
      <c r="A50" s="366"/>
      <c r="B50" s="411"/>
      <c r="C50" s="434" t="s">
        <v>322</v>
      </c>
      <c r="D50" s="435" t="s">
        <v>324</v>
      </c>
      <c r="E50" s="435" t="s">
        <v>291</v>
      </c>
      <c r="F50" s="435" t="s">
        <v>320</v>
      </c>
      <c r="G50" s="440">
        <v>134.5</v>
      </c>
      <c r="H50" s="440">
        <v>134.5</v>
      </c>
      <c r="I50" s="440">
        <v>134.5</v>
      </c>
      <c r="J50" s="440">
        <v>134.5</v>
      </c>
      <c r="K50" s="440">
        <v>134.5</v>
      </c>
      <c r="L50" s="440" t="s">
        <v>225</v>
      </c>
      <c r="M50" s="441" t="s">
        <v>225</v>
      </c>
      <c r="N50" s="438">
        <v>134.5</v>
      </c>
      <c r="O50" s="439"/>
    </row>
    <row r="51" spans="1:15" s="410" customFormat="1" ht="20.25" customHeight="1">
      <c r="A51" s="366"/>
      <c r="B51" s="411"/>
      <c r="C51" s="434" t="s">
        <v>325</v>
      </c>
      <c r="D51" s="435" t="s">
        <v>324</v>
      </c>
      <c r="E51" s="435" t="s">
        <v>291</v>
      </c>
      <c r="F51" s="435" t="s">
        <v>320</v>
      </c>
      <c r="G51" s="440">
        <v>110.24</v>
      </c>
      <c r="H51" s="440">
        <v>110.24</v>
      </c>
      <c r="I51" s="440">
        <v>110.24</v>
      </c>
      <c r="J51" s="440">
        <v>110.24</v>
      </c>
      <c r="K51" s="440">
        <v>110.24</v>
      </c>
      <c r="L51" s="440" t="s">
        <v>225</v>
      </c>
      <c r="M51" s="441" t="s">
        <v>225</v>
      </c>
      <c r="N51" s="438">
        <v>110.24</v>
      </c>
      <c r="O51" s="439"/>
    </row>
    <row r="52" spans="1:15" s="410" customFormat="1" ht="20.25" customHeight="1">
      <c r="A52" s="366"/>
      <c r="B52" s="411"/>
      <c r="C52" s="434" t="s">
        <v>318</v>
      </c>
      <c r="D52" s="435" t="s">
        <v>326</v>
      </c>
      <c r="E52" s="435" t="s">
        <v>291</v>
      </c>
      <c r="F52" s="435" t="s">
        <v>320</v>
      </c>
      <c r="G52" s="440">
        <v>119.18</v>
      </c>
      <c r="H52" s="440">
        <v>119.18</v>
      </c>
      <c r="I52" s="440">
        <v>119.18</v>
      </c>
      <c r="J52" s="440">
        <v>119.18</v>
      </c>
      <c r="K52" s="440">
        <v>119.18</v>
      </c>
      <c r="L52" s="440" t="s">
        <v>225</v>
      </c>
      <c r="M52" s="441" t="s">
        <v>225</v>
      </c>
      <c r="N52" s="438">
        <v>119.18</v>
      </c>
      <c r="O52" s="439"/>
    </row>
    <row r="53" spans="1:15" s="410" customFormat="1" ht="20.25" customHeight="1">
      <c r="A53" s="366"/>
      <c r="B53" s="411"/>
      <c r="C53" s="434" t="s">
        <v>321</v>
      </c>
      <c r="D53" s="435" t="s">
        <v>326</v>
      </c>
      <c r="E53" s="435" t="s">
        <v>291</v>
      </c>
      <c r="F53" s="435" t="s">
        <v>320</v>
      </c>
      <c r="G53" s="440">
        <v>105.07</v>
      </c>
      <c r="H53" s="440">
        <v>105.07</v>
      </c>
      <c r="I53" s="440">
        <v>105.07</v>
      </c>
      <c r="J53" s="440">
        <v>105.07</v>
      </c>
      <c r="K53" s="440">
        <v>105.07</v>
      </c>
      <c r="L53" s="440" t="s">
        <v>225</v>
      </c>
      <c r="M53" s="441" t="s">
        <v>225</v>
      </c>
      <c r="N53" s="438">
        <v>105.07</v>
      </c>
      <c r="O53" s="439"/>
    </row>
    <row r="54" spans="1:15" s="410" customFormat="1" ht="20.25" customHeight="1">
      <c r="A54" s="366"/>
      <c r="B54" s="411"/>
      <c r="C54" s="434" t="s">
        <v>318</v>
      </c>
      <c r="D54" s="435" t="s">
        <v>327</v>
      </c>
      <c r="E54" s="435" t="s">
        <v>291</v>
      </c>
      <c r="F54" s="435" t="s">
        <v>320</v>
      </c>
      <c r="G54" s="440">
        <v>128.82</v>
      </c>
      <c r="H54" s="440">
        <v>128.82</v>
      </c>
      <c r="I54" s="440">
        <v>128.82</v>
      </c>
      <c r="J54" s="440">
        <v>128.82</v>
      </c>
      <c r="K54" s="440">
        <v>128.82</v>
      </c>
      <c r="L54" s="440" t="s">
        <v>225</v>
      </c>
      <c r="M54" s="441" t="s">
        <v>225</v>
      </c>
      <c r="N54" s="438">
        <v>128.82</v>
      </c>
      <c r="O54" s="439"/>
    </row>
    <row r="55" spans="1:15" s="410" customFormat="1" ht="20.25" customHeight="1">
      <c r="A55" s="366"/>
      <c r="B55" s="411"/>
      <c r="C55" s="434" t="s">
        <v>325</v>
      </c>
      <c r="D55" s="435" t="s">
        <v>328</v>
      </c>
      <c r="E55" s="435" t="s">
        <v>291</v>
      </c>
      <c r="F55" s="435" t="s">
        <v>320</v>
      </c>
      <c r="G55" s="440">
        <v>100</v>
      </c>
      <c r="H55" s="440">
        <v>100</v>
      </c>
      <c r="I55" s="440">
        <v>100</v>
      </c>
      <c r="J55" s="440">
        <v>100</v>
      </c>
      <c r="K55" s="440">
        <v>100</v>
      </c>
      <c r="L55" s="440" t="s">
        <v>225</v>
      </c>
      <c r="M55" s="441" t="s">
        <v>225</v>
      </c>
      <c r="N55" s="438">
        <v>100</v>
      </c>
      <c r="O55" s="439"/>
    </row>
    <row r="56" spans="1:15" s="410" customFormat="1" ht="20.25" customHeight="1">
      <c r="A56" s="366"/>
      <c r="B56" s="402" t="s">
        <v>329</v>
      </c>
      <c r="C56" s="434" t="s">
        <v>321</v>
      </c>
      <c r="D56" s="435" t="s">
        <v>330</v>
      </c>
      <c r="E56" s="435" t="s">
        <v>291</v>
      </c>
      <c r="F56" s="435" t="s">
        <v>331</v>
      </c>
      <c r="G56" s="440">
        <v>85</v>
      </c>
      <c r="H56" s="440">
        <v>85</v>
      </c>
      <c r="I56" s="440">
        <v>85</v>
      </c>
      <c r="J56" s="440">
        <v>85</v>
      </c>
      <c r="K56" s="440">
        <v>85</v>
      </c>
      <c r="L56" s="440" t="s">
        <v>225</v>
      </c>
      <c r="M56" s="441" t="s">
        <v>225</v>
      </c>
      <c r="N56" s="438">
        <v>85</v>
      </c>
      <c r="O56" s="439"/>
    </row>
    <row r="57" spans="1:15" s="410" customFormat="1" ht="20.25" customHeight="1">
      <c r="A57" s="366"/>
      <c r="B57" s="411"/>
      <c r="C57" s="434" t="s">
        <v>325</v>
      </c>
      <c r="D57" s="435" t="s">
        <v>330</v>
      </c>
      <c r="E57" s="435" t="s">
        <v>291</v>
      </c>
      <c r="F57" s="435" t="s">
        <v>331</v>
      </c>
      <c r="G57" s="440">
        <v>125</v>
      </c>
      <c r="H57" s="440">
        <v>125</v>
      </c>
      <c r="I57" s="440">
        <v>125</v>
      </c>
      <c r="J57" s="440">
        <v>125</v>
      </c>
      <c r="K57" s="440">
        <v>125</v>
      </c>
      <c r="L57" s="440" t="s">
        <v>225</v>
      </c>
      <c r="M57" s="441" t="s">
        <v>225</v>
      </c>
      <c r="N57" s="438">
        <v>125</v>
      </c>
      <c r="O57" s="439"/>
    </row>
    <row r="58" spans="1:15" s="410" customFormat="1" ht="20.25" customHeight="1">
      <c r="A58" s="366"/>
      <c r="B58" s="411"/>
      <c r="C58" s="434" t="s">
        <v>332</v>
      </c>
      <c r="D58" s="435" t="s">
        <v>333</v>
      </c>
      <c r="E58" s="435" t="s">
        <v>291</v>
      </c>
      <c r="F58" s="435" t="s">
        <v>334</v>
      </c>
      <c r="G58" s="440">
        <v>185</v>
      </c>
      <c r="H58" s="440">
        <v>185</v>
      </c>
      <c r="I58" s="440">
        <v>185</v>
      </c>
      <c r="J58" s="440">
        <v>185</v>
      </c>
      <c r="K58" s="440">
        <v>185</v>
      </c>
      <c r="L58" s="440" t="s">
        <v>225</v>
      </c>
      <c r="M58" s="441" t="s">
        <v>225</v>
      </c>
      <c r="N58" s="438">
        <v>185</v>
      </c>
      <c r="O58" s="439"/>
    </row>
    <row r="59" spans="1:15" s="410" customFormat="1" ht="20.25" customHeight="1">
      <c r="A59" s="366"/>
      <c r="B59" s="411"/>
      <c r="C59" s="434" t="s">
        <v>321</v>
      </c>
      <c r="D59" s="435" t="s">
        <v>333</v>
      </c>
      <c r="E59" s="435" t="s">
        <v>291</v>
      </c>
      <c r="F59" s="435" t="s">
        <v>334</v>
      </c>
      <c r="G59" s="440">
        <v>156.41999999999999</v>
      </c>
      <c r="H59" s="440">
        <v>156.41999999999999</v>
      </c>
      <c r="I59" s="440">
        <v>156.41999999999999</v>
      </c>
      <c r="J59" s="440">
        <v>156.41999999999999</v>
      </c>
      <c r="K59" s="440">
        <v>156.41999999999999</v>
      </c>
      <c r="L59" s="440" t="s">
        <v>225</v>
      </c>
      <c r="M59" s="441" t="s">
        <v>225</v>
      </c>
      <c r="N59" s="438">
        <v>156.41999999999999</v>
      </c>
      <c r="O59" s="439"/>
    </row>
    <row r="60" spans="1:15" s="410" customFormat="1" ht="20.25" customHeight="1">
      <c r="A60" s="366"/>
      <c r="B60" s="411"/>
      <c r="C60" s="434" t="s">
        <v>325</v>
      </c>
      <c r="D60" s="435" t="s">
        <v>333</v>
      </c>
      <c r="E60" s="435" t="s">
        <v>291</v>
      </c>
      <c r="F60" s="435" t="s">
        <v>334</v>
      </c>
      <c r="G60" s="440">
        <v>137.4</v>
      </c>
      <c r="H60" s="440">
        <v>137.4</v>
      </c>
      <c r="I60" s="440">
        <v>137.4</v>
      </c>
      <c r="J60" s="440">
        <v>137.4</v>
      </c>
      <c r="K60" s="440">
        <v>137.4</v>
      </c>
      <c r="L60" s="440" t="s">
        <v>225</v>
      </c>
      <c r="M60" s="441" t="s">
        <v>225</v>
      </c>
      <c r="N60" s="438">
        <v>137.4</v>
      </c>
      <c r="O60" s="439"/>
    </row>
    <row r="61" spans="1:15" s="410" customFormat="1" ht="20.25" customHeight="1" thickBot="1">
      <c r="A61" s="366"/>
      <c r="B61" s="413"/>
      <c r="C61" s="414" t="s">
        <v>325</v>
      </c>
      <c r="D61" s="415" t="s">
        <v>335</v>
      </c>
      <c r="E61" s="415" t="s">
        <v>291</v>
      </c>
      <c r="F61" s="415" t="s">
        <v>336</v>
      </c>
      <c r="G61" s="442">
        <v>126.51</v>
      </c>
      <c r="H61" s="442">
        <v>126.51</v>
      </c>
      <c r="I61" s="442">
        <v>126.51</v>
      </c>
      <c r="J61" s="442">
        <v>126.51</v>
      </c>
      <c r="K61" s="442">
        <v>126.51</v>
      </c>
      <c r="L61" s="443" t="s">
        <v>225</v>
      </c>
      <c r="M61" s="444" t="s">
        <v>225</v>
      </c>
      <c r="N61" s="445">
        <v>126.51</v>
      </c>
      <c r="O61" s="439"/>
    </row>
    <row r="62" spans="1:15" ht="20.149999999999999" customHeight="1">
      <c r="N62" s="115"/>
    </row>
    <row r="64" spans="1:15" ht="15" customHeight="1">
      <c r="B64" s="446" t="s">
        <v>337</v>
      </c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386"/>
    </row>
    <row r="65" spans="2:15" ht="4.5" customHeight="1" thickBot="1">
      <c r="B65" s="421"/>
    </row>
    <row r="66" spans="2:15" ht="27" customHeight="1">
      <c r="B66" s="387" t="s">
        <v>232</v>
      </c>
      <c r="C66" s="447" t="s">
        <v>280</v>
      </c>
      <c r="D66" s="448" t="s">
        <v>281</v>
      </c>
      <c r="E66" s="447" t="s">
        <v>282</v>
      </c>
      <c r="F66" s="448" t="s">
        <v>283</v>
      </c>
      <c r="G66" s="449" t="s">
        <v>284</v>
      </c>
      <c r="H66" s="450"/>
      <c r="I66" s="451"/>
      <c r="J66" s="450" t="s">
        <v>285</v>
      </c>
      <c r="K66" s="450"/>
      <c r="L66" s="450"/>
      <c r="M66" s="450"/>
      <c r="N66" s="452"/>
      <c r="O66" s="395"/>
    </row>
    <row r="67" spans="2:15" ht="20.149999999999999" customHeight="1">
      <c r="B67" s="396"/>
      <c r="C67" s="453"/>
      <c r="D67" s="454" t="s">
        <v>286</v>
      </c>
      <c r="E67" s="453"/>
      <c r="F67" s="454"/>
      <c r="G67" s="455">
        <v>46104</v>
      </c>
      <c r="H67" s="455">
        <v>46105</v>
      </c>
      <c r="I67" s="455">
        <v>46106</v>
      </c>
      <c r="J67" s="455">
        <v>46107</v>
      </c>
      <c r="K67" s="455">
        <v>46108</v>
      </c>
      <c r="L67" s="455">
        <v>46109</v>
      </c>
      <c r="M67" s="456">
        <v>46110</v>
      </c>
      <c r="N67" s="457" t="s">
        <v>287</v>
      </c>
      <c r="O67" s="401"/>
    </row>
    <row r="68" spans="2:15" ht="20.149999999999999" customHeight="1">
      <c r="B68" s="402" t="s">
        <v>338</v>
      </c>
      <c r="C68" s="458" t="s">
        <v>339</v>
      </c>
      <c r="D68" s="459" t="s">
        <v>340</v>
      </c>
      <c r="E68" s="459" t="s">
        <v>105</v>
      </c>
      <c r="F68" s="459" t="s">
        <v>105</v>
      </c>
      <c r="G68" s="460">
        <v>275</v>
      </c>
      <c r="H68" s="460">
        <v>275</v>
      </c>
      <c r="I68" s="460">
        <v>275</v>
      </c>
      <c r="J68" s="460">
        <v>275</v>
      </c>
      <c r="K68" s="460">
        <v>275</v>
      </c>
      <c r="L68" s="460" t="s">
        <v>225</v>
      </c>
      <c r="M68" s="461" t="s">
        <v>225</v>
      </c>
      <c r="N68" s="462">
        <v>275</v>
      </c>
      <c r="O68" s="401"/>
    </row>
    <row r="69" spans="2:15" ht="20.149999999999999" customHeight="1" thickBot="1">
      <c r="B69" s="413"/>
      <c r="C69" s="414" t="s">
        <v>293</v>
      </c>
      <c r="D69" s="415" t="s">
        <v>340</v>
      </c>
      <c r="E69" s="415" t="s">
        <v>105</v>
      </c>
      <c r="F69" s="415" t="s">
        <v>105</v>
      </c>
      <c r="G69" s="443">
        <v>325</v>
      </c>
      <c r="H69" s="443">
        <v>325</v>
      </c>
      <c r="I69" s="443">
        <v>325</v>
      </c>
      <c r="J69" s="443">
        <v>325</v>
      </c>
      <c r="K69" s="443">
        <v>325</v>
      </c>
      <c r="L69" s="443" t="s">
        <v>225</v>
      </c>
      <c r="M69" s="444" t="s">
        <v>225</v>
      </c>
      <c r="N69" s="463">
        <v>325</v>
      </c>
      <c r="O69" s="401"/>
    </row>
    <row r="70" spans="2:15">
      <c r="N70" s="115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C6CF-83E6-4E80-80BE-2E0D13832422}">
  <sheetPr>
    <pageSetUpPr fitToPage="1"/>
  </sheetPr>
  <dimension ref="A1:H39"/>
  <sheetViews>
    <sheetView showGridLines="0" zoomScaleNormal="100" zoomScaleSheetLayoutView="70" workbookViewId="0"/>
  </sheetViews>
  <sheetFormatPr baseColWidth="10" defaultColWidth="14.453125" defaultRowHeight="15"/>
  <cols>
    <col min="1" max="1" width="3" style="464" customWidth="1"/>
    <col min="2" max="2" width="22.453125" style="465" customWidth="1"/>
    <col min="3" max="3" width="17.54296875" style="465" customWidth="1"/>
    <col min="4" max="4" width="73.453125" style="465" bestFit="1" customWidth="1"/>
    <col min="5" max="5" width="8.54296875" style="465" customWidth="1"/>
    <col min="6" max="6" width="24.54296875" style="465" customWidth="1"/>
    <col min="7" max="7" width="69.453125" style="465" customWidth="1"/>
    <col min="8" max="8" width="3.54296875" style="368" customWidth="1"/>
    <col min="9" max="9" width="14.453125" style="368"/>
    <col min="10" max="11" width="16.54296875" style="368" bestFit="1" customWidth="1"/>
    <col min="12" max="12" width="14.453125" style="368" bestFit="1" customWidth="1"/>
    <col min="13" max="16384" width="14.453125" style="368"/>
  </cols>
  <sheetData>
    <row r="1" spans="1:8" ht="11.25" customHeight="1">
      <c r="B1" s="464"/>
      <c r="C1" s="464"/>
      <c r="D1" s="464"/>
      <c r="E1" s="464"/>
      <c r="F1" s="464"/>
      <c r="G1" s="464"/>
      <c r="H1" s="464"/>
    </row>
    <row r="2" spans="1:8">
      <c r="G2" s="371"/>
      <c r="H2" s="372"/>
    </row>
    <row r="3" spans="1:8" ht="8.25" customHeight="1">
      <c r="H3" s="372"/>
    </row>
    <row r="4" spans="1:8" ht="1.5" customHeight="1" thickBot="1">
      <c r="H4" s="372"/>
    </row>
    <row r="5" spans="1:8" ht="26.25" customHeight="1" thickBot="1">
      <c r="B5" s="466" t="s">
        <v>341</v>
      </c>
      <c r="C5" s="467"/>
      <c r="D5" s="467"/>
      <c r="E5" s="467"/>
      <c r="F5" s="467"/>
      <c r="G5" s="468"/>
      <c r="H5" s="374"/>
    </row>
    <row r="6" spans="1:8" ht="15" customHeight="1">
      <c r="B6" s="469"/>
      <c r="C6" s="469"/>
      <c r="D6" s="469"/>
      <c r="E6" s="469"/>
      <c r="F6" s="469"/>
      <c r="G6" s="469"/>
      <c r="H6" s="376"/>
    </row>
    <row r="7" spans="1:8" ht="33.65" customHeight="1">
      <c r="B7" s="470" t="s">
        <v>342</v>
      </c>
      <c r="C7" s="470"/>
      <c r="D7" s="470"/>
      <c r="E7" s="470"/>
      <c r="F7" s="470"/>
      <c r="G7" s="470"/>
      <c r="H7" s="376"/>
    </row>
    <row r="8" spans="1:8" ht="27" customHeight="1">
      <c r="B8" s="471" t="s">
        <v>343</v>
      </c>
      <c r="C8" s="472"/>
      <c r="D8" s="472"/>
      <c r="E8" s="472"/>
      <c r="F8" s="472"/>
      <c r="G8" s="472"/>
      <c r="H8" s="376"/>
    </row>
    <row r="9" spans="1:8" ht="17.25" customHeight="1">
      <c r="A9" s="473"/>
      <c r="B9" s="474" t="s">
        <v>279</v>
      </c>
      <c r="C9" s="474"/>
      <c r="D9" s="474"/>
      <c r="E9" s="474"/>
      <c r="F9" s="474"/>
      <c r="G9" s="474"/>
      <c r="H9" s="475"/>
    </row>
    <row r="10" spans="1:8" ht="3.75" customHeight="1" thickBot="1">
      <c r="B10" s="476"/>
    </row>
    <row r="11" spans="1:8" ht="30" customHeight="1">
      <c r="B11" s="387" t="s">
        <v>232</v>
      </c>
      <c r="C11" s="388" t="s">
        <v>280</v>
      </c>
      <c r="D11" s="389" t="s">
        <v>281</v>
      </c>
      <c r="E11" s="388" t="s">
        <v>282</v>
      </c>
      <c r="F11" s="389" t="s">
        <v>283</v>
      </c>
      <c r="G11" s="477" t="s">
        <v>344</v>
      </c>
      <c r="H11" s="395"/>
    </row>
    <row r="12" spans="1:8" ht="30" customHeight="1">
      <c r="B12" s="396"/>
      <c r="C12" s="397"/>
      <c r="D12" s="478" t="s">
        <v>286</v>
      </c>
      <c r="E12" s="397"/>
      <c r="F12" s="398"/>
      <c r="G12" s="479" t="s">
        <v>345</v>
      </c>
      <c r="H12" s="401"/>
    </row>
    <row r="13" spans="1:8" s="410" customFormat="1" ht="30" customHeight="1">
      <c r="A13" s="464"/>
      <c r="B13" s="480" t="s">
        <v>288</v>
      </c>
      <c r="C13" s="404" t="s">
        <v>346</v>
      </c>
      <c r="D13" s="404" t="s">
        <v>347</v>
      </c>
      <c r="E13" s="481" t="s">
        <v>291</v>
      </c>
      <c r="F13" s="404" t="s">
        <v>292</v>
      </c>
      <c r="G13" s="482">
        <v>163.38999999999999</v>
      </c>
      <c r="H13" s="483"/>
    </row>
    <row r="14" spans="1:8" s="410" customFormat="1" ht="30" customHeight="1">
      <c r="A14" s="464"/>
      <c r="B14" s="402" t="s">
        <v>295</v>
      </c>
      <c r="C14" s="404" t="s">
        <v>346</v>
      </c>
      <c r="D14" s="404" t="s">
        <v>347</v>
      </c>
      <c r="E14" s="404" t="s">
        <v>291</v>
      </c>
      <c r="F14" s="404" t="s">
        <v>303</v>
      </c>
      <c r="G14" s="484">
        <v>140.05000000000001</v>
      </c>
      <c r="H14" s="483"/>
    </row>
    <row r="15" spans="1:8" s="410" customFormat="1" ht="30" customHeight="1">
      <c r="A15" s="464"/>
      <c r="B15" s="402" t="s">
        <v>306</v>
      </c>
      <c r="C15" s="403" t="s">
        <v>346</v>
      </c>
      <c r="D15" s="404" t="s">
        <v>348</v>
      </c>
      <c r="E15" s="404" t="s">
        <v>291</v>
      </c>
      <c r="F15" s="485" t="s">
        <v>308</v>
      </c>
      <c r="G15" s="482">
        <v>86.63</v>
      </c>
      <c r="H15" s="483"/>
    </row>
    <row r="16" spans="1:8" s="410" customFormat="1" ht="30" customHeight="1">
      <c r="A16" s="464"/>
      <c r="B16" s="411"/>
      <c r="C16" s="403" t="s">
        <v>346</v>
      </c>
      <c r="D16" s="404" t="s">
        <v>312</v>
      </c>
      <c r="E16" s="404" t="s">
        <v>291</v>
      </c>
      <c r="F16" s="404" t="s">
        <v>308</v>
      </c>
      <c r="G16" s="486">
        <v>81.790000000000006</v>
      </c>
      <c r="H16" s="483"/>
    </row>
    <row r="17" spans="1:8" s="410" customFormat="1" ht="30" customHeight="1">
      <c r="A17" s="464"/>
      <c r="B17" s="411"/>
      <c r="C17" s="458" t="s">
        <v>346</v>
      </c>
      <c r="D17" s="487" t="s">
        <v>313</v>
      </c>
      <c r="E17" s="487" t="s">
        <v>291</v>
      </c>
      <c r="F17" s="487" t="s">
        <v>308</v>
      </c>
      <c r="G17" s="484">
        <v>91.7</v>
      </c>
      <c r="H17" s="483"/>
    </row>
    <row r="18" spans="1:8" s="410" customFormat="1" ht="30" customHeight="1">
      <c r="A18" s="464"/>
      <c r="B18" s="488"/>
      <c r="C18" s="404" t="s">
        <v>346</v>
      </c>
      <c r="D18" s="435" t="s">
        <v>314</v>
      </c>
      <c r="E18" s="435" t="s">
        <v>291</v>
      </c>
      <c r="F18" s="435" t="s">
        <v>308</v>
      </c>
      <c r="G18" s="482">
        <v>91.92</v>
      </c>
      <c r="H18" s="483"/>
    </row>
    <row r="19" spans="1:8" s="410" customFormat="1" ht="30" customHeight="1">
      <c r="A19" s="464"/>
      <c r="B19" s="488"/>
      <c r="C19" s="404" t="s">
        <v>346</v>
      </c>
      <c r="D19" s="435" t="s">
        <v>347</v>
      </c>
      <c r="E19" s="435" t="s">
        <v>291</v>
      </c>
      <c r="F19" s="435" t="s">
        <v>308</v>
      </c>
      <c r="G19" s="489">
        <v>89.09</v>
      </c>
      <c r="H19" s="490"/>
    </row>
    <row r="20" spans="1:8" s="410" customFormat="1" ht="30" customHeight="1" thickBot="1">
      <c r="A20" s="464"/>
      <c r="B20" s="413"/>
      <c r="C20" s="491" t="s">
        <v>346</v>
      </c>
      <c r="D20" s="492" t="s">
        <v>315</v>
      </c>
      <c r="E20" s="492" t="s">
        <v>291</v>
      </c>
      <c r="F20" s="493" t="s">
        <v>308</v>
      </c>
      <c r="G20" s="494">
        <v>81.069999999999993</v>
      </c>
      <c r="H20" s="483"/>
    </row>
    <row r="21" spans="1:8" s="410" customFormat="1" ht="30" customHeight="1">
      <c r="A21" s="464"/>
      <c r="B21" s="495"/>
      <c r="C21" s="496"/>
      <c r="D21" s="496"/>
      <c r="E21" s="496"/>
      <c r="F21" s="497"/>
      <c r="G21" s="498"/>
      <c r="H21" s="483"/>
    </row>
    <row r="22" spans="1:8" ht="17.25" customHeight="1">
      <c r="A22" s="473"/>
      <c r="B22" s="474" t="s">
        <v>316</v>
      </c>
      <c r="C22" s="474"/>
      <c r="D22" s="474"/>
      <c r="E22" s="474"/>
      <c r="F22" s="474"/>
      <c r="G22" s="474"/>
      <c r="H22" s="475"/>
    </row>
    <row r="23" spans="1:8" s="410" customFormat="1" ht="4.5" customHeight="1" thickBot="1">
      <c r="A23" s="464"/>
      <c r="B23" s="495"/>
      <c r="C23" s="499"/>
      <c r="D23" s="499"/>
      <c r="E23" s="499"/>
      <c r="F23" s="499"/>
      <c r="G23" s="499"/>
    </row>
    <row r="24" spans="1:8" s="410" customFormat="1" ht="30" customHeight="1">
      <c r="A24" s="464"/>
      <c r="B24" s="500" t="s">
        <v>232</v>
      </c>
      <c r="C24" s="501" t="s">
        <v>280</v>
      </c>
      <c r="D24" s="502" t="s">
        <v>281</v>
      </c>
      <c r="E24" s="501" t="s">
        <v>282</v>
      </c>
      <c r="F24" s="502" t="s">
        <v>283</v>
      </c>
      <c r="G24" s="503" t="s">
        <v>344</v>
      </c>
      <c r="H24" s="504"/>
    </row>
    <row r="25" spans="1:8" s="410" customFormat="1" ht="30" customHeight="1">
      <c r="A25" s="464"/>
      <c r="B25" s="505"/>
      <c r="C25" s="506"/>
      <c r="D25" s="478" t="s">
        <v>286</v>
      </c>
      <c r="E25" s="506"/>
      <c r="F25" s="478" t="s">
        <v>349</v>
      </c>
      <c r="G25" s="479" t="s">
        <v>345</v>
      </c>
      <c r="H25" s="507"/>
    </row>
    <row r="26" spans="1:8" s="410" customFormat="1" ht="30" customHeight="1">
      <c r="A26" s="464"/>
      <c r="B26" s="508" t="s">
        <v>317</v>
      </c>
      <c r="C26" s="509" t="s">
        <v>346</v>
      </c>
      <c r="D26" s="509" t="s">
        <v>319</v>
      </c>
      <c r="E26" s="509" t="s">
        <v>291</v>
      </c>
      <c r="F26" s="510" t="s">
        <v>320</v>
      </c>
      <c r="G26" s="511">
        <v>123.11205715663813</v>
      </c>
      <c r="H26" s="507"/>
    </row>
    <row r="27" spans="1:8" s="410" customFormat="1" ht="30" customHeight="1">
      <c r="A27" s="464"/>
      <c r="B27" s="508"/>
      <c r="C27" s="512" t="s">
        <v>346</v>
      </c>
      <c r="D27" s="512" t="s">
        <v>323</v>
      </c>
      <c r="E27" s="512" t="s">
        <v>291</v>
      </c>
      <c r="F27" s="513" t="s">
        <v>320</v>
      </c>
      <c r="G27" s="514">
        <v>130.18</v>
      </c>
      <c r="H27" s="483"/>
    </row>
    <row r="28" spans="1:8" s="410" customFormat="1" ht="30" customHeight="1">
      <c r="A28" s="464"/>
      <c r="B28" s="508"/>
      <c r="C28" s="512" t="s">
        <v>346</v>
      </c>
      <c r="D28" s="512" t="s">
        <v>324</v>
      </c>
      <c r="E28" s="512" t="s">
        <v>291</v>
      </c>
      <c r="F28" s="513" t="s">
        <v>320</v>
      </c>
      <c r="G28" s="514">
        <v>108.58</v>
      </c>
      <c r="H28" s="483"/>
    </row>
    <row r="29" spans="1:8" s="410" customFormat="1" ht="30" customHeight="1">
      <c r="A29" s="464"/>
      <c r="B29" s="508"/>
      <c r="C29" s="512" t="s">
        <v>346</v>
      </c>
      <c r="D29" s="512" t="s">
        <v>326</v>
      </c>
      <c r="E29" s="512" t="s">
        <v>291</v>
      </c>
      <c r="F29" s="513" t="s">
        <v>320</v>
      </c>
      <c r="G29" s="514">
        <v>111.27</v>
      </c>
      <c r="H29" s="483"/>
    </row>
    <row r="30" spans="1:8" s="410" customFormat="1" ht="30" customHeight="1">
      <c r="A30" s="464"/>
      <c r="B30" s="508"/>
      <c r="C30" s="512" t="s">
        <v>346</v>
      </c>
      <c r="D30" s="512" t="s">
        <v>350</v>
      </c>
      <c r="E30" s="512" t="s">
        <v>291</v>
      </c>
      <c r="F30" s="513" t="s">
        <v>320</v>
      </c>
      <c r="G30" s="514">
        <v>128.82</v>
      </c>
      <c r="H30" s="483"/>
    </row>
    <row r="31" spans="1:8" s="410" customFormat="1" ht="30" customHeight="1">
      <c r="A31" s="464"/>
      <c r="B31" s="515" t="s">
        <v>329</v>
      </c>
      <c r="C31" s="512" t="s">
        <v>346</v>
      </c>
      <c r="D31" s="512" t="s">
        <v>330</v>
      </c>
      <c r="E31" s="512" t="s">
        <v>291</v>
      </c>
      <c r="F31" s="513" t="s">
        <v>331</v>
      </c>
      <c r="G31" s="514">
        <v>101.92</v>
      </c>
      <c r="H31" s="483"/>
    </row>
    <row r="32" spans="1:8" s="410" customFormat="1" ht="30" customHeight="1" thickBot="1">
      <c r="A32" s="464"/>
      <c r="B32" s="516"/>
      <c r="C32" s="517" t="s">
        <v>346</v>
      </c>
      <c r="D32" s="517" t="s">
        <v>333</v>
      </c>
      <c r="E32" s="517" t="s">
        <v>291</v>
      </c>
      <c r="F32" s="518" t="s">
        <v>334</v>
      </c>
      <c r="G32" s="519">
        <v>168.16</v>
      </c>
      <c r="H32" s="483"/>
    </row>
    <row r="33" spans="1:8">
      <c r="G33" s="368"/>
    </row>
    <row r="34" spans="1:8" ht="17.25" customHeight="1">
      <c r="A34" s="473"/>
      <c r="B34" s="520" t="s">
        <v>337</v>
      </c>
      <c r="C34" s="520"/>
      <c r="D34" s="520"/>
      <c r="E34" s="520"/>
      <c r="F34" s="520"/>
      <c r="G34" s="520"/>
      <c r="H34" s="521"/>
    </row>
    <row r="35" spans="1:8" s="410" customFormat="1" ht="5.25" customHeight="1" thickBot="1">
      <c r="A35" s="464"/>
      <c r="B35" s="495"/>
      <c r="C35" s="499"/>
      <c r="D35" s="499"/>
      <c r="E35" s="499"/>
      <c r="F35" s="499"/>
      <c r="G35" s="499"/>
    </row>
    <row r="36" spans="1:8" s="410" customFormat="1" ht="30" customHeight="1">
      <c r="A36" s="464"/>
      <c r="B36" s="500" t="s">
        <v>232</v>
      </c>
      <c r="C36" s="501" t="s">
        <v>280</v>
      </c>
      <c r="D36" s="502" t="s">
        <v>281</v>
      </c>
      <c r="E36" s="501" t="s">
        <v>282</v>
      </c>
      <c r="F36" s="502" t="s">
        <v>283</v>
      </c>
      <c r="G36" s="522" t="s">
        <v>344</v>
      </c>
      <c r="H36" s="504"/>
    </row>
    <row r="37" spans="1:8" s="410" customFormat="1" ht="30" customHeight="1">
      <c r="A37" s="464"/>
      <c r="B37" s="505"/>
      <c r="C37" s="506"/>
      <c r="D37" s="478" t="s">
        <v>286</v>
      </c>
      <c r="E37" s="506"/>
      <c r="F37" s="478"/>
      <c r="G37" s="523" t="s">
        <v>345</v>
      </c>
      <c r="H37" s="507"/>
    </row>
    <row r="38" spans="1:8" s="410" customFormat="1" ht="30" customHeight="1" thickBot="1">
      <c r="A38" s="464"/>
      <c r="B38" s="524" t="s">
        <v>338</v>
      </c>
      <c r="C38" s="525" t="s">
        <v>346</v>
      </c>
      <c r="D38" s="526" t="s">
        <v>340</v>
      </c>
      <c r="E38" s="526" t="s">
        <v>105</v>
      </c>
      <c r="F38" s="526" t="s">
        <v>105</v>
      </c>
      <c r="G38" s="527">
        <v>306.06</v>
      </c>
      <c r="H38" s="507"/>
    </row>
    <row r="39" spans="1:8">
      <c r="G39" s="115" t="s">
        <v>68</v>
      </c>
    </row>
  </sheetData>
  <mergeCells count="7">
    <mergeCell ref="B34:G34"/>
    <mergeCell ref="B5:G5"/>
    <mergeCell ref="B6:G6"/>
    <mergeCell ref="B7:G7"/>
    <mergeCell ref="B8:G8"/>
    <mergeCell ref="B9:G9"/>
    <mergeCell ref="B22:G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7309-B5C4-40BC-BAEB-7B7016140067}">
  <sheetPr>
    <pageSetUpPr fitToPage="1"/>
  </sheetPr>
  <dimension ref="A1:P100"/>
  <sheetViews>
    <sheetView showGridLines="0" zoomScaleNormal="100" zoomScaleSheetLayoutView="75" workbookViewId="0"/>
  </sheetViews>
  <sheetFormatPr baseColWidth="10" defaultColWidth="14.453125" defaultRowHeight="16.399999999999999" customHeight="1"/>
  <cols>
    <col min="1" max="1" width="0.54296875" style="528" customWidth="1"/>
    <col min="2" max="2" width="22.453125" style="529" customWidth="1"/>
    <col min="3" max="3" width="15.54296875" style="529" bestFit="1" customWidth="1"/>
    <col min="4" max="4" width="51.54296875" style="529" bestFit="1" customWidth="1"/>
    <col min="5" max="5" width="13.453125" style="529" customWidth="1"/>
    <col min="6" max="6" width="18.90625" style="529" bestFit="1" customWidth="1"/>
    <col min="7" max="14" width="17.54296875" style="529" customWidth="1"/>
    <col min="15" max="15" width="1.54296875" style="368" customWidth="1"/>
    <col min="16" max="16" width="12.453125" style="368" bestFit="1" customWidth="1"/>
    <col min="17" max="16384" width="14.453125" style="368"/>
  </cols>
  <sheetData>
    <row r="1" spans="1:16" ht="9.75" customHeight="1"/>
    <row r="2" spans="1:16" ht="6.75" customHeight="1">
      <c r="B2" s="530"/>
      <c r="C2" s="530"/>
      <c r="D2" s="530"/>
      <c r="E2" s="530"/>
      <c r="F2" s="530"/>
      <c r="G2" s="530"/>
      <c r="K2" s="371"/>
      <c r="L2" s="371"/>
      <c r="M2" s="371"/>
      <c r="N2" s="371"/>
    </row>
    <row r="3" spans="1:16" ht="3.75" customHeight="1">
      <c r="B3" s="530"/>
      <c r="C3" s="530"/>
      <c r="D3" s="530"/>
      <c r="E3" s="530"/>
      <c r="F3" s="530"/>
      <c r="G3" s="530"/>
    </row>
    <row r="4" spans="1:16" ht="29.25" customHeight="1" thickBot="1">
      <c r="B4" s="375" t="s">
        <v>351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</row>
    <row r="5" spans="1:16" ht="16.399999999999999" customHeight="1">
      <c r="B5" s="377" t="s">
        <v>352</v>
      </c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9"/>
    </row>
    <row r="6" spans="1:16" ht="16.399999999999999" customHeight="1" thickBot="1">
      <c r="B6" s="380" t="s">
        <v>277</v>
      </c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2"/>
    </row>
    <row r="7" spans="1:16" ht="16.399999999999999" customHeight="1"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69"/>
      <c r="M7" s="469"/>
      <c r="N7" s="469"/>
    </row>
    <row r="8" spans="1:16" ht="16.399999999999999" customHeight="1">
      <c r="B8" s="383" t="s">
        <v>278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</row>
    <row r="9" spans="1:16" ht="24.75" customHeight="1">
      <c r="A9" s="366"/>
      <c r="B9" s="384" t="s">
        <v>92</v>
      </c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76"/>
    </row>
    <row r="10" spans="1:16" ht="3" customHeight="1" thickBot="1"/>
    <row r="11" spans="1:16" ht="22.4" customHeight="1">
      <c r="B11" s="387" t="s">
        <v>232</v>
      </c>
      <c r="C11" s="388" t="s">
        <v>280</v>
      </c>
      <c r="D11" s="389" t="s">
        <v>281</v>
      </c>
      <c r="E11" s="388" t="s">
        <v>282</v>
      </c>
      <c r="F11" s="389" t="s">
        <v>283</v>
      </c>
      <c r="G11" s="390" t="s">
        <v>284</v>
      </c>
      <c r="H11" s="391"/>
      <c r="I11" s="392"/>
      <c r="J11" s="391" t="s">
        <v>285</v>
      </c>
      <c r="K11" s="391"/>
      <c r="L11" s="393"/>
      <c r="M11" s="393"/>
      <c r="N11" s="394"/>
    </row>
    <row r="12" spans="1:16" ht="16.399999999999999" customHeight="1">
      <c r="B12" s="396"/>
      <c r="C12" s="397"/>
      <c r="D12" s="398" t="s">
        <v>286</v>
      </c>
      <c r="E12" s="397"/>
      <c r="F12" s="398"/>
      <c r="G12" s="399">
        <v>46104</v>
      </c>
      <c r="H12" s="399">
        <v>46105</v>
      </c>
      <c r="I12" s="399">
        <v>46106</v>
      </c>
      <c r="J12" s="399">
        <v>46107</v>
      </c>
      <c r="K12" s="399">
        <v>46108</v>
      </c>
      <c r="L12" s="399">
        <v>46109</v>
      </c>
      <c r="M12" s="399">
        <v>46110</v>
      </c>
      <c r="N12" s="430" t="s">
        <v>287</v>
      </c>
    </row>
    <row r="13" spans="1:16" ht="20.149999999999999" customHeight="1">
      <c r="B13" s="531" t="s">
        <v>353</v>
      </c>
      <c r="C13" s="532" t="s">
        <v>354</v>
      </c>
      <c r="D13" s="532" t="s">
        <v>355</v>
      </c>
      <c r="E13" s="532" t="s">
        <v>105</v>
      </c>
      <c r="F13" s="532" t="s">
        <v>105</v>
      </c>
      <c r="G13" s="533">
        <v>101.78</v>
      </c>
      <c r="H13" s="533">
        <v>101.78</v>
      </c>
      <c r="I13" s="533">
        <v>101.78</v>
      </c>
      <c r="J13" s="533">
        <v>101.78</v>
      </c>
      <c r="K13" s="533">
        <v>101.78</v>
      </c>
      <c r="L13" s="533" t="s">
        <v>225</v>
      </c>
      <c r="M13" s="534" t="s">
        <v>225</v>
      </c>
      <c r="N13" s="535">
        <v>101.78</v>
      </c>
      <c r="P13" s="536"/>
    </row>
    <row r="14" spans="1:16" ht="20.149999999999999" customHeight="1">
      <c r="B14" s="537"/>
      <c r="C14" s="532" t="s">
        <v>322</v>
      </c>
      <c r="D14" s="532" t="s">
        <v>355</v>
      </c>
      <c r="E14" s="532" t="s">
        <v>105</v>
      </c>
      <c r="F14" s="532" t="s">
        <v>105</v>
      </c>
      <c r="G14" s="533">
        <v>105</v>
      </c>
      <c r="H14" s="533">
        <v>105</v>
      </c>
      <c r="I14" s="533">
        <v>105</v>
      </c>
      <c r="J14" s="533">
        <v>105</v>
      </c>
      <c r="K14" s="533">
        <v>105</v>
      </c>
      <c r="L14" s="533" t="s">
        <v>225</v>
      </c>
      <c r="M14" s="534" t="s">
        <v>225</v>
      </c>
      <c r="N14" s="535">
        <v>105</v>
      </c>
      <c r="P14" s="536"/>
    </row>
    <row r="15" spans="1:16" ht="20.149999999999999" customHeight="1">
      <c r="B15" s="531" t="s">
        <v>356</v>
      </c>
      <c r="C15" s="532" t="s">
        <v>357</v>
      </c>
      <c r="D15" s="532" t="s">
        <v>358</v>
      </c>
      <c r="E15" s="532" t="s">
        <v>105</v>
      </c>
      <c r="F15" s="532" t="s">
        <v>359</v>
      </c>
      <c r="G15" s="533">
        <v>250</v>
      </c>
      <c r="H15" s="533">
        <v>250</v>
      </c>
      <c r="I15" s="533">
        <v>250</v>
      </c>
      <c r="J15" s="533">
        <v>250</v>
      </c>
      <c r="K15" s="533">
        <v>250</v>
      </c>
      <c r="L15" s="533" t="s">
        <v>225</v>
      </c>
      <c r="M15" s="534" t="s">
        <v>225</v>
      </c>
      <c r="N15" s="535">
        <v>250</v>
      </c>
      <c r="P15" s="536"/>
    </row>
    <row r="16" spans="1:16" ht="20.149999999999999" customHeight="1">
      <c r="B16" s="538"/>
      <c r="C16" s="532" t="s">
        <v>360</v>
      </c>
      <c r="D16" s="532" t="s">
        <v>358</v>
      </c>
      <c r="E16" s="532" t="s">
        <v>105</v>
      </c>
      <c r="F16" s="532" t="s">
        <v>359</v>
      </c>
      <c r="G16" s="533">
        <v>202</v>
      </c>
      <c r="H16" s="533">
        <v>202</v>
      </c>
      <c r="I16" s="533">
        <v>202</v>
      </c>
      <c r="J16" s="533">
        <v>202</v>
      </c>
      <c r="K16" s="533">
        <v>202</v>
      </c>
      <c r="L16" s="533" t="s">
        <v>225</v>
      </c>
      <c r="M16" s="534" t="s">
        <v>225</v>
      </c>
      <c r="N16" s="535">
        <v>202</v>
      </c>
      <c r="P16" s="536"/>
    </row>
    <row r="17" spans="1:16" ht="20.149999999999999" customHeight="1">
      <c r="B17" s="538"/>
      <c r="C17" s="532" t="s">
        <v>361</v>
      </c>
      <c r="D17" s="532" t="s">
        <v>358</v>
      </c>
      <c r="E17" s="532" t="s">
        <v>105</v>
      </c>
      <c r="F17" s="532" t="s">
        <v>359</v>
      </c>
      <c r="G17" s="533">
        <v>245</v>
      </c>
      <c r="H17" s="533">
        <v>240</v>
      </c>
      <c r="I17" s="533">
        <v>240</v>
      </c>
      <c r="J17" s="533">
        <v>235</v>
      </c>
      <c r="K17" s="533">
        <v>235</v>
      </c>
      <c r="L17" s="533" t="s">
        <v>225</v>
      </c>
      <c r="M17" s="534" t="s">
        <v>225</v>
      </c>
      <c r="N17" s="535">
        <v>239</v>
      </c>
      <c r="P17" s="536"/>
    </row>
    <row r="18" spans="1:16" ht="20.149999999999999" customHeight="1">
      <c r="B18" s="538"/>
      <c r="C18" s="532" t="s">
        <v>357</v>
      </c>
      <c r="D18" s="532" t="s">
        <v>362</v>
      </c>
      <c r="E18" s="532" t="s">
        <v>105</v>
      </c>
      <c r="F18" s="532" t="s">
        <v>363</v>
      </c>
      <c r="G18" s="533">
        <v>280</v>
      </c>
      <c r="H18" s="533">
        <v>280</v>
      </c>
      <c r="I18" s="533">
        <v>280</v>
      </c>
      <c r="J18" s="533">
        <v>280</v>
      </c>
      <c r="K18" s="533">
        <v>280</v>
      </c>
      <c r="L18" s="533" t="s">
        <v>225</v>
      </c>
      <c r="M18" s="534" t="s">
        <v>225</v>
      </c>
      <c r="N18" s="535">
        <v>280</v>
      </c>
      <c r="P18" s="536"/>
    </row>
    <row r="19" spans="1:16" ht="20.149999999999999" customHeight="1">
      <c r="B19" s="538"/>
      <c r="C19" s="532" t="s">
        <v>309</v>
      </c>
      <c r="D19" s="532" t="s">
        <v>362</v>
      </c>
      <c r="E19" s="532" t="s">
        <v>105</v>
      </c>
      <c r="F19" s="532" t="s">
        <v>363</v>
      </c>
      <c r="G19" s="533">
        <v>292.60000000000002</v>
      </c>
      <c r="H19" s="533">
        <v>292.60000000000002</v>
      </c>
      <c r="I19" s="533">
        <v>292.60000000000002</v>
      </c>
      <c r="J19" s="533">
        <v>292.60000000000002</v>
      </c>
      <c r="K19" s="533">
        <v>292.60000000000002</v>
      </c>
      <c r="L19" s="533" t="s">
        <v>225</v>
      </c>
      <c r="M19" s="534" t="s">
        <v>225</v>
      </c>
      <c r="N19" s="535">
        <v>292.60000000000002</v>
      </c>
      <c r="P19" s="536"/>
    </row>
    <row r="20" spans="1:16" ht="20.149999999999999" customHeight="1">
      <c r="B20" s="538"/>
      <c r="C20" s="532" t="s">
        <v>360</v>
      </c>
      <c r="D20" s="532" t="s">
        <v>362</v>
      </c>
      <c r="E20" s="532" t="s">
        <v>105</v>
      </c>
      <c r="F20" s="532" t="s">
        <v>363</v>
      </c>
      <c r="G20" s="533">
        <v>345.15</v>
      </c>
      <c r="H20" s="533">
        <v>345.15</v>
      </c>
      <c r="I20" s="533">
        <v>345.15</v>
      </c>
      <c r="J20" s="533">
        <v>345.15</v>
      </c>
      <c r="K20" s="533">
        <v>345.15</v>
      </c>
      <c r="L20" s="533" t="s">
        <v>225</v>
      </c>
      <c r="M20" s="534" t="s">
        <v>225</v>
      </c>
      <c r="N20" s="535">
        <v>345.15</v>
      </c>
      <c r="P20" s="536"/>
    </row>
    <row r="21" spans="1:16" ht="20.149999999999999" customHeight="1">
      <c r="B21" s="538"/>
      <c r="C21" s="532" t="s">
        <v>354</v>
      </c>
      <c r="D21" s="532" t="s">
        <v>362</v>
      </c>
      <c r="E21" s="532" t="s">
        <v>105</v>
      </c>
      <c r="F21" s="532" t="s">
        <v>363</v>
      </c>
      <c r="G21" s="533">
        <v>310</v>
      </c>
      <c r="H21" s="533">
        <v>310</v>
      </c>
      <c r="I21" s="533">
        <v>310</v>
      </c>
      <c r="J21" s="533">
        <v>310</v>
      </c>
      <c r="K21" s="533">
        <v>310</v>
      </c>
      <c r="L21" s="533" t="s">
        <v>225</v>
      </c>
      <c r="M21" s="534" t="s">
        <v>225</v>
      </c>
      <c r="N21" s="535">
        <v>310</v>
      </c>
      <c r="P21" s="536"/>
    </row>
    <row r="22" spans="1:16" ht="20.149999999999999" customHeight="1">
      <c r="B22" s="538"/>
      <c r="C22" s="532" t="s">
        <v>361</v>
      </c>
      <c r="D22" s="532" t="s">
        <v>362</v>
      </c>
      <c r="E22" s="532" t="s">
        <v>105</v>
      </c>
      <c r="F22" s="532" t="s">
        <v>363</v>
      </c>
      <c r="G22" s="533">
        <v>270</v>
      </c>
      <c r="H22" s="533">
        <v>268</v>
      </c>
      <c r="I22" s="533">
        <v>265</v>
      </c>
      <c r="J22" s="533">
        <v>260</v>
      </c>
      <c r="K22" s="533">
        <v>260</v>
      </c>
      <c r="L22" s="533" t="s">
        <v>225</v>
      </c>
      <c r="M22" s="534" t="s">
        <v>225</v>
      </c>
      <c r="N22" s="535">
        <v>264.60000000000002</v>
      </c>
      <c r="P22" s="536"/>
    </row>
    <row r="23" spans="1:16" ht="20.149999999999999" customHeight="1">
      <c r="B23" s="538"/>
      <c r="C23" s="532" t="s">
        <v>357</v>
      </c>
      <c r="D23" s="532" t="s">
        <v>364</v>
      </c>
      <c r="E23" s="532" t="s">
        <v>105</v>
      </c>
      <c r="F23" s="532" t="s">
        <v>359</v>
      </c>
      <c r="G23" s="533">
        <v>245</v>
      </c>
      <c r="H23" s="533">
        <v>245</v>
      </c>
      <c r="I23" s="533">
        <v>245</v>
      </c>
      <c r="J23" s="533">
        <v>245</v>
      </c>
      <c r="K23" s="533">
        <v>245</v>
      </c>
      <c r="L23" s="533" t="s">
        <v>225</v>
      </c>
      <c r="M23" s="534" t="s">
        <v>225</v>
      </c>
      <c r="N23" s="535">
        <v>245</v>
      </c>
      <c r="P23" s="536"/>
    </row>
    <row r="24" spans="1:16" ht="20.149999999999999" customHeight="1">
      <c r="B24" s="538"/>
      <c r="C24" s="539" t="s">
        <v>309</v>
      </c>
      <c r="D24" s="532" t="s">
        <v>364</v>
      </c>
      <c r="E24" s="539" t="s">
        <v>105</v>
      </c>
      <c r="F24" s="539" t="s">
        <v>359</v>
      </c>
      <c r="G24" s="405">
        <v>267.66000000000003</v>
      </c>
      <c r="H24" s="405">
        <v>267.66000000000003</v>
      </c>
      <c r="I24" s="405">
        <v>267.66000000000003</v>
      </c>
      <c r="J24" s="405">
        <v>267.66000000000003</v>
      </c>
      <c r="K24" s="405">
        <v>267.66000000000003</v>
      </c>
      <c r="L24" s="405" t="s">
        <v>225</v>
      </c>
      <c r="M24" s="540" t="s">
        <v>225</v>
      </c>
      <c r="N24" s="541">
        <v>267.66000000000003</v>
      </c>
      <c r="P24" s="536"/>
    </row>
    <row r="25" spans="1:16" ht="20.149999999999999" customHeight="1">
      <c r="B25" s="538"/>
      <c r="C25" s="539" t="s">
        <v>360</v>
      </c>
      <c r="D25" s="532" t="s">
        <v>364</v>
      </c>
      <c r="E25" s="539" t="s">
        <v>105</v>
      </c>
      <c r="F25" s="539" t="s">
        <v>359</v>
      </c>
      <c r="G25" s="405">
        <v>186</v>
      </c>
      <c r="H25" s="405">
        <v>186</v>
      </c>
      <c r="I25" s="405">
        <v>186</v>
      </c>
      <c r="J25" s="405">
        <v>186</v>
      </c>
      <c r="K25" s="405">
        <v>186</v>
      </c>
      <c r="L25" s="405" t="s">
        <v>225</v>
      </c>
      <c r="M25" s="540" t="s">
        <v>225</v>
      </c>
      <c r="N25" s="541">
        <v>186</v>
      </c>
      <c r="P25" s="536"/>
    </row>
    <row r="26" spans="1:16" ht="20.149999999999999" customHeight="1">
      <c r="B26" s="531" t="s">
        <v>365</v>
      </c>
      <c r="C26" s="539" t="s">
        <v>294</v>
      </c>
      <c r="D26" s="539" t="s">
        <v>355</v>
      </c>
      <c r="E26" s="539" t="s">
        <v>105</v>
      </c>
      <c r="F26" s="539" t="s">
        <v>105</v>
      </c>
      <c r="G26" s="405">
        <v>78</v>
      </c>
      <c r="H26" s="405">
        <v>75</v>
      </c>
      <c r="I26" s="405">
        <v>70</v>
      </c>
      <c r="J26" s="405">
        <v>72</v>
      </c>
      <c r="K26" s="405">
        <v>70</v>
      </c>
      <c r="L26" s="405" t="s">
        <v>225</v>
      </c>
      <c r="M26" s="540" t="s">
        <v>225</v>
      </c>
      <c r="N26" s="541">
        <v>72.55</v>
      </c>
      <c r="P26" s="536"/>
    </row>
    <row r="27" spans="1:16" ht="20.149999999999999" customHeight="1">
      <c r="B27" s="537"/>
      <c r="C27" s="539" t="s">
        <v>322</v>
      </c>
      <c r="D27" s="539" t="s">
        <v>355</v>
      </c>
      <c r="E27" s="539" t="s">
        <v>105</v>
      </c>
      <c r="F27" s="539" t="s">
        <v>105</v>
      </c>
      <c r="G27" s="405">
        <v>153</v>
      </c>
      <c r="H27" s="405">
        <v>153</v>
      </c>
      <c r="I27" s="405">
        <v>153</v>
      </c>
      <c r="J27" s="405">
        <v>153</v>
      </c>
      <c r="K27" s="405">
        <v>153</v>
      </c>
      <c r="L27" s="405" t="s">
        <v>225</v>
      </c>
      <c r="M27" s="540" t="s">
        <v>225</v>
      </c>
      <c r="N27" s="541">
        <v>153</v>
      </c>
      <c r="P27" s="536"/>
    </row>
    <row r="28" spans="1:16" ht="20.149999999999999" customHeight="1">
      <c r="B28" s="542" t="s">
        <v>366</v>
      </c>
      <c r="C28" s="539" t="s">
        <v>294</v>
      </c>
      <c r="D28" s="539" t="s">
        <v>367</v>
      </c>
      <c r="E28" s="539" t="s">
        <v>105</v>
      </c>
      <c r="F28" s="539" t="s">
        <v>105</v>
      </c>
      <c r="G28" s="405">
        <v>95</v>
      </c>
      <c r="H28" s="405">
        <v>95</v>
      </c>
      <c r="I28" s="405">
        <v>98</v>
      </c>
      <c r="J28" s="405">
        <v>100</v>
      </c>
      <c r="K28" s="405">
        <v>93</v>
      </c>
      <c r="L28" s="405" t="s">
        <v>225</v>
      </c>
      <c r="M28" s="540" t="s">
        <v>225</v>
      </c>
      <c r="N28" s="541">
        <v>95.94</v>
      </c>
      <c r="P28" s="536"/>
    </row>
    <row r="29" spans="1:16" ht="20.149999999999999" customHeight="1">
      <c r="B29" s="531" t="s">
        <v>368</v>
      </c>
      <c r="C29" s="539" t="s">
        <v>369</v>
      </c>
      <c r="D29" s="539" t="s">
        <v>355</v>
      </c>
      <c r="E29" s="539" t="s">
        <v>105</v>
      </c>
      <c r="F29" s="435" t="s">
        <v>370</v>
      </c>
      <c r="G29" s="405">
        <v>160.80000000000001</v>
      </c>
      <c r="H29" s="405">
        <v>129.63</v>
      </c>
      <c r="I29" s="405">
        <v>127.23</v>
      </c>
      <c r="J29" s="405">
        <v>132.37</v>
      </c>
      <c r="K29" s="405">
        <v>123.49</v>
      </c>
      <c r="L29" s="405">
        <v>115.25</v>
      </c>
      <c r="M29" s="540" t="s">
        <v>225</v>
      </c>
      <c r="N29" s="541">
        <v>135.44</v>
      </c>
      <c r="P29" s="536"/>
    </row>
    <row r="30" spans="1:16" ht="20.149999999999999" customHeight="1">
      <c r="B30" s="531" t="s">
        <v>371</v>
      </c>
      <c r="C30" s="539" t="s">
        <v>294</v>
      </c>
      <c r="D30" s="435" t="s">
        <v>355</v>
      </c>
      <c r="E30" s="539" t="s">
        <v>105</v>
      </c>
      <c r="F30" s="539" t="s">
        <v>105</v>
      </c>
      <c r="G30" s="405">
        <v>220</v>
      </c>
      <c r="H30" s="405">
        <v>230</v>
      </c>
      <c r="I30" s="405">
        <v>250</v>
      </c>
      <c r="J30" s="405">
        <v>260</v>
      </c>
      <c r="K30" s="405">
        <v>270</v>
      </c>
      <c r="L30" s="405" t="s">
        <v>225</v>
      </c>
      <c r="M30" s="540" t="s">
        <v>225</v>
      </c>
      <c r="N30" s="541">
        <v>249.43</v>
      </c>
      <c r="P30" s="536"/>
    </row>
    <row r="31" spans="1:16" ht="20.149999999999999" customHeight="1">
      <c r="B31" s="531" t="s">
        <v>372</v>
      </c>
      <c r="C31" s="539" t="s">
        <v>369</v>
      </c>
      <c r="D31" s="539" t="s">
        <v>347</v>
      </c>
      <c r="E31" s="539" t="s">
        <v>105</v>
      </c>
      <c r="F31" s="539" t="s">
        <v>373</v>
      </c>
      <c r="G31" s="405">
        <v>84.5</v>
      </c>
      <c r="H31" s="405">
        <v>80</v>
      </c>
      <c r="I31" s="405">
        <v>84</v>
      </c>
      <c r="J31" s="405">
        <v>97</v>
      </c>
      <c r="K31" s="405">
        <v>106</v>
      </c>
      <c r="L31" s="405">
        <v>81</v>
      </c>
      <c r="M31" s="540" t="s">
        <v>225</v>
      </c>
      <c r="N31" s="541">
        <v>87.79</v>
      </c>
      <c r="P31" s="536"/>
    </row>
    <row r="32" spans="1:16" s="547" customFormat="1" ht="20.149999999999999" customHeight="1">
      <c r="A32" s="543"/>
      <c r="B32" s="537"/>
      <c r="C32" s="539" t="s">
        <v>294</v>
      </c>
      <c r="D32" s="539" t="s">
        <v>347</v>
      </c>
      <c r="E32" s="539" t="s">
        <v>105</v>
      </c>
      <c r="F32" s="539" t="s">
        <v>373</v>
      </c>
      <c r="G32" s="544">
        <v>110</v>
      </c>
      <c r="H32" s="544">
        <v>105</v>
      </c>
      <c r="I32" s="544">
        <v>110</v>
      </c>
      <c r="J32" s="544">
        <v>112</v>
      </c>
      <c r="K32" s="544">
        <v>105</v>
      </c>
      <c r="L32" s="544" t="s">
        <v>225</v>
      </c>
      <c r="M32" s="545" t="s">
        <v>225</v>
      </c>
      <c r="N32" s="546">
        <v>108.56</v>
      </c>
      <c r="P32" s="548"/>
    </row>
    <row r="33" spans="1:16" s="547" customFormat="1" ht="20.149999999999999" customHeight="1">
      <c r="A33" s="543"/>
      <c r="B33" s="531" t="s">
        <v>374</v>
      </c>
      <c r="C33" s="539" t="s">
        <v>375</v>
      </c>
      <c r="D33" s="539" t="s">
        <v>355</v>
      </c>
      <c r="E33" s="539" t="s">
        <v>105</v>
      </c>
      <c r="F33" s="435" t="s">
        <v>376</v>
      </c>
      <c r="G33" s="544">
        <v>36</v>
      </c>
      <c r="H33" s="544">
        <v>36</v>
      </c>
      <c r="I33" s="544">
        <v>36</v>
      </c>
      <c r="J33" s="544">
        <v>36</v>
      </c>
      <c r="K33" s="544">
        <v>36</v>
      </c>
      <c r="L33" s="544" t="s">
        <v>225</v>
      </c>
      <c r="M33" s="545" t="s">
        <v>225</v>
      </c>
      <c r="N33" s="546">
        <v>36</v>
      </c>
      <c r="P33" s="548"/>
    </row>
    <row r="34" spans="1:16" ht="20.149999999999999" customHeight="1">
      <c r="B34" s="538"/>
      <c r="C34" s="539" t="s">
        <v>357</v>
      </c>
      <c r="D34" s="539" t="s">
        <v>355</v>
      </c>
      <c r="E34" s="539" t="s">
        <v>105</v>
      </c>
      <c r="F34" s="435" t="s">
        <v>376</v>
      </c>
      <c r="G34" s="405">
        <v>65</v>
      </c>
      <c r="H34" s="405">
        <v>65</v>
      </c>
      <c r="I34" s="405">
        <v>66</v>
      </c>
      <c r="J34" s="405">
        <v>67</v>
      </c>
      <c r="K34" s="405">
        <v>67</v>
      </c>
      <c r="L34" s="405" t="s">
        <v>225</v>
      </c>
      <c r="M34" s="540" t="s">
        <v>225</v>
      </c>
      <c r="N34" s="541">
        <v>66</v>
      </c>
      <c r="P34" s="536"/>
    </row>
    <row r="35" spans="1:16" ht="20.149999999999999" customHeight="1">
      <c r="B35" s="538"/>
      <c r="C35" s="539" t="s">
        <v>360</v>
      </c>
      <c r="D35" s="539" t="s">
        <v>355</v>
      </c>
      <c r="E35" s="539" t="s">
        <v>105</v>
      </c>
      <c r="F35" s="435" t="s">
        <v>376</v>
      </c>
      <c r="G35" s="405">
        <v>50</v>
      </c>
      <c r="H35" s="405">
        <v>50</v>
      </c>
      <c r="I35" s="405">
        <v>50</v>
      </c>
      <c r="J35" s="405">
        <v>50</v>
      </c>
      <c r="K35" s="405">
        <v>50</v>
      </c>
      <c r="L35" s="405" t="s">
        <v>225</v>
      </c>
      <c r="M35" s="540" t="s">
        <v>225</v>
      </c>
      <c r="N35" s="541">
        <v>50</v>
      </c>
      <c r="P35" s="536"/>
    </row>
    <row r="36" spans="1:16" ht="20.149999999999999" customHeight="1">
      <c r="B36" s="538"/>
      <c r="C36" s="539" t="s">
        <v>321</v>
      </c>
      <c r="D36" s="539" t="s">
        <v>355</v>
      </c>
      <c r="E36" s="539" t="s">
        <v>105</v>
      </c>
      <c r="F36" s="435" t="s">
        <v>376</v>
      </c>
      <c r="G36" s="405">
        <v>40</v>
      </c>
      <c r="H36" s="405">
        <v>40</v>
      </c>
      <c r="I36" s="405">
        <v>40</v>
      </c>
      <c r="J36" s="405">
        <v>40</v>
      </c>
      <c r="K36" s="405">
        <v>40</v>
      </c>
      <c r="L36" s="405" t="s">
        <v>225</v>
      </c>
      <c r="M36" s="540" t="s">
        <v>225</v>
      </c>
      <c r="N36" s="541">
        <v>40</v>
      </c>
      <c r="P36" s="536"/>
    </row>
    <row r="37" spans="1:16" ht="20.149999999999999" customHeight="1">
      <c r="B37" s="538"/>
      <c r="C37" s="539" t="s">
        <v>354</v>
      </c>
      <c r="D37" s="539" t="s">
        <v>355</v>
      </c>
      <c r="E37" s="539" t="s">
        <v>105</v>
      </c>
      <c r="F37" s="435" t="s">
        <v>376</v>
      </c>
      <c r="G37" s="544">
        <v>129</v>
      </c>
      <c r="H37" s="544">
        <v>129</v>
      </c>
      <c r="I37" s="544">
        <v>129</v>
      </c>
      <c r="J37" s="544">
        <v>129</v>
      </c>
      <c r="K37" s="544">
        <v>129</v>
      </c>
      <c r="L37" s="549" t="s">
        <v>225</v>
      </c>
      <c r="M37" s="550" t="s">
        <v>225</v>
      </c>
      <c r="N37" s="546">
        <v>129</v>
      </c>
      <c r="P37" s="536"/>
    </row>
    <row r="38" spans="1:16" ht="20.149999999999999" customHeight="1">
      <c r="B38" s="537"/>
      <c r="C38" s="539" t="s">
        <v>361</v>
      </c>
      <c r="D38" s="539" t="s">
        <v>355</v>
      </c>
      <c r="E38" s="539" t="s">
        <v>105</v>
      </c>
      <c r="F38" s="435" t="s">
        <v>376</v>
      </c>
      <c r="G38" s="405">
        <v>72</v>
      </c>
      <c r="H38" s="405">
        <v>72</v>
      </c>
      <c r="I38" s="405">
        <v>72</v>
      </c>
      <c r="J38" s="405">
        <v>72</v>
      </c>
      <c r="K38" s="405">
        <v>72</v>
      </c>
      <c r="L38" s="405" t="s">
        <v>225</v>
      </c>
      <c r="M38" s="540" t="s">
        <v>225</v>
      </c>
      <c r="N38" s="541">
        <v>72</v>
      </c>
      <c r="P38" s="536"/>
    </row>
    <row r="39" spans="1:16" ht="20.149999999999999" customHeight="1">
      <c r="B39" s="531" t="s">
        <v>377</v>
      </c>
      <c r="C39" s="539" t="s">
        <v>375</v>
      </c>
      <c r="D39" s="539" t="s">
        <v>378</v>
      </c>
      <c r="E39" s="539" t="s">
        <v>105</v>
      </c>
      <c r="F39" s="539" t="s">
        <v>379</v>
      </c>
      <c r="G39" s="405">
        <v>209.5</v>
      </c>
      <c r="H39" s="405">
        <v>209.5</v>
      </c>
      <c r="I39" s="405">
        <v>209.5</v>
      </c>
      <c r="J39" s="405">
        <v>209.5</v>
      </c>
      <c r="K39" s="405">
        <v>209.5</v>
      </c>
      <c r="L39" s="405" t="s">
        <v>225</v>
      </c>
      <c r="M39" s="540" t="s">
        <v>225</v>
      </c>
      <c r="N39" s="541">
        <v>209.5</v>
      </c>
      <c r="P39" s="536"/>
    </row>
    <row r="40" spans="1:16" ht="20.149999999999999" customHeight="1">
      <c r="B40" s="538"/>
      <c r="C40" s="539" t="s">
        <v>360</v>
      </c>
      <c r="D40" s="539" t="s">
        <v>378</v>
      </c>
      <c r="E40" s="539" t="s">
        <v>105</v>
      </c>
      <c r="F40" s="539" t="s">
        <v>379</v>
      </c>
      <c r="G40" s="405">
        <v>190.97</v>
      </c>
      <c r="H40" s="405">
        <v>190.97</v>
      </c>
      <c r="I40" s="405">
        <v>190.97</v>
      </c>
      <c r="J40" s="405">
        <v>190.97</v>
      </c>
      <c r="K40" s="405">
        <v>190.97</v>
      </c>
      <c r="L40" s="405" t="s">
        <v>225</v>
      </c>
      <c r="M40" s="540" t="s">
        <v>225</v>
      </c>
      <c r="N40" s="541">
        <v>190.97</v>
      </c>
      <c r="P40" s="536"/>
    </row>
    <row r="41" spans="1:16" ht="20.149999999999999" customHeight="1">
      <c r="B41" s="538"/>
      <c r="C41" s="539" t="s">
        <v>332</v>
      </c>
      <c r="D41" s="539" t="s">
        <v>378</v>
      </c>
      <c r="E41" s="539" t="s">
        <v>105</v>
      </c>
      <c r="F41" s="539" t="s">
        <v>379</v>
      </c>
      <c r="G41" s="405">
        <v>337</v>
      </c>
      <c r="H41" s="405">
        <v>337</v>
      </c>
      <c r="I41" s="405">
        <v>337</v>
      </c>
      <c r="J41" s="405">
        <v>337</v>
      </c>
      <c r="K41" s="405">
        <v>337</v>
      </c>
      <c r="L41" s="405" t="s">
        <v>225</v>
      </c>
      <c r="M41" s="540" t="s">
        <v>225</v>
      </c>
      <c r="N41" s="541">
        <v>337</v>
      </c>
      <c r="P41" s="536"/>
    </row>
    <row r="42" spans="1:16" ht="20.149999999999999" customHeight="1">
      <c r="B42" s="537"/>
      <c r="C42" s="539" t="s">
        <v>322</v>
      </c>
      <c r="D42" s="539" t="s">
        <v>378</v>
      </c>
      <c r="E42" s="539" t="s">
        <v>105</v>
      </c>
      <c r="F42" s="539" t="s">
        <v>379</v>
      </c>
      <c r="G42" s="544">
        <v>328</v>
      </c>
      <c r="H42" s="544">
        <v>328</v>
      </c>
      <c r="I42" s="544">
        <v>328</v>
      </c>
      <c r="J42" s="544">
        <v>328</v>
      </c>
      <c r="K42" s="544">
        <v>328</v>
      </c>
      <c r="L42" s="549" t="s">
        <v>225</v>
      </c>
      <c r="M42" s="550" t="s">
        <v>225</v>
      </c>
      <c r="N42" s="546">
        <v>328</v>
      </c>
      <c r="P42" s="536"/>
    </row>
    <row r="43" spans="1:16" ht="20.149999999999999" customHeight="1">
      <c r="B43" s="531" t="s">
        <v>380</v>
      </c>
      <c r="C43" s="539" t="s">
        <v>381</v>
      </c>
      <c r="D43" s="539" t="s">
        <v>355</v>
      </c>
      <c r="E43" s="539" t="s">
        <v>105</v>
      </c>
      <c r="F43" s="435" t="s">
        <v>382</v>
      </c>
      <c r="G43" s="544">
        <v>164</v>
      </c>
      <c r="H43" s="544">
        <v>164</v>
      </c>
      <c r="I43" s="544">
        <v>164</v>
      </c>
      <c r="J43" s="544">
        <v>164</v>
      </c>
      <c r="K43" s="544">
        <v>164</v>
      </c>
      <c r="L43" s="549" t="s">
        <v>225</v>
      </c>
      <c r="M43" s="550" t="s">
        <v>225</v>
      </c>
      <c r="N43" s="546">
        <v>164</v>
      </c>
      <c r="P43" s="536"/>
    </row>
    <row r="44" spans="1:16" ht="20.149999999999999" customHeight="1">
      <c r="B44" s="538"/>
      <c r="C44" s="539" t="s">
        <v>357</v>
      </c>
      <c r="D44" s="539" t="s">
        <v>355</v>
      </c>
      <c r="E44" s="539" t="s">
        <v>105</v>
      </c>
      <c r="F44" s="435" t="s">
        <v>382</v>
      </c>
      <c r="G44" s="544">
        <v>150</v>
      </c>
      <c r="H44" s="544">
        <v>147</v>
      </c>
      <c r="I44" s="544">
        <v>145</v>
      </c>
      <c r="J44" s="544">
        <v>143</v>
      </c>
      <c r="K44" s="544">
        <v>140</v>
      </c>
      <c r="L44" s="549" t="s">
        <v>225</v>
      </c>
      <c r="M44" s="550" t="s">
        <v>225</v>
      </c>
      <c r="N44" s="546">
        <v>145</v>
      </c>
      <c r="P44" s="536"/>
    </row>
    <row r="45" spans="1:16" ht="20.149999999999999" customHeight="1">
      <c r="B45" s="538"/>
      <c r="C45" s="551" t="s">
        <v>339</v>
      </c>
      <c r="D45" s="539" t="s">
        <v>355</v>
      </c>
      <c r="E45" s="539" t="s">
        <v>105</v>
      </c>
      <c r="F45" s="435" t="s">
        <v>382</v>
      </c>
      <c r="G45" s="544">
        <v>144.77000000000001</v>
      </c>
      <c r="H45" s="544">
        <v>144.77000000000001</v>
      </c>
      <c r="I45" s="544">
        <v>144.77000000000001</v>
      </c>
      <c r="J45" s="544">
        <v>144.77000000000001</v>
      </c>
      <c r="K45" s="544">
        <v>144.77000000000001</v>
      </c>
      <c r="L45" s="549" t="s">
        <v>225</v>
      </c>
      <c r="M45" s="550" t="s">
        <v>225</v>
      </c>
      <c r="N45" s="546">
        <v>144.77000000000001</v>
      </c>
      <c r="P45" s="536"/>
    </row>
    <row r="46" spans="1:16" ht="20.149999999999999" customHeight="1">
      <c r="B46" s="538"/>
      <c r="C46" s="551" t="s">
        <v>332</v>
      </c>
      <c r="D46" s="539" t="s">
        <v>355</v>
      </c>
      <c r="E46" s="539" t="s">
        <v>105</v>
      </c>
      <c r="F46" s="435" t="s">
        <v>382</v>
      </c>
      <c r="G46" s="544">
        <v>78.22</v>
      </c>
      <c r="H46" s="544">
        <v>78.22</v>
      </c>
      <c r="I46" s="544">
        <v>78.22</v>
      </c>
      <c r="J46" s="544">
        <v>78.22</v>
      </c>
      <c r="K46" s="544">
        <v>78.22</v>
      </c>
      <c r="L46" s="549" t="s">
        <v>225</v>
      </c>
      <c r="M46" s="550" t="s">
        <v>225</v>
      </c>
      <c r="N46" s="546">
        <v>78.22</v>
      </c>
      <c r="P46" s="536"/>
    </row>
    <row r="47" spans="1:16" s="547" customFormat="1" ht="20.149999999999999" customHeight="1">
      <c r="A47" s="543"/>
      <c r="B47" s="538"/>
      <c r="C47" s="551" t="s">
        <v>294</v>
      </c>
      <c r="D47" s="539" t="s">
        <v>355</v>
      </c>
      <c r="E47" s="539" t="s">
        <v>105</v>
      </c>
      <c r="F47" s="435" t="s">
        <v>382</v>
      </c>
      <c r="G47" s="544">
        <v>170</v>
      </c>
      <c r="H47" s="544">
        <v>160</v>
      </c>
      <c r="I47" s="544">
        <v>150</v>
      </c>
      <c r="J47" s="544">
        <v>198</v>
      </c>
      <c r="K47" s="544">
        <v>180</v>
      </c>
      <c r="L47" s="544" t="s">
        <v>225</v>
      </c>
      <c r="M47" s="545" t="s">
        <v>225</v>
      </c>
      <c r="N47" s="546">
        <v>173.28</v>
      </c>
      <c r="P47" s="548"/>
    </row>
    <row r="48" spans="1:16" s="547" customFormat="1" ht="20.149999999999999" customHeight="1">
      <c r="A48" s="543"/>
      <c r="B48" s="538"/>
      <c r="C48" s="551" t="s">
        <v>322</v>
      </c>
      <c r="D48" s="539" t="s">
        <v>355</v>
      </c>
      <c r="E48" s="539" t="s">
        <v>105</v>
      </c>
      <c r="F48" s="435" t="s">
        <v>382</v>
      </c>
      <c r="G48" s="544">
        <v>123</v>
      </c>
      <c r="H48" s="544">
        <v>123</v>
      </c>
      <c r="I48" s="544">
        <v>123</v>
      </c>
      <c r="J48" s="544">
        <v>123</v>
      </c>
      <c r="K48" s="544">
        <v>123</v>
      </c>
      <c r="L48" s="544" t="s">
        <v>225</v>
      </c>
      <c r="M48" s="545" t="s">
        <v>225</v>
      </c>
      <c r="N48" s="546">
        <v>123</v>
      </c>
      <c r="P48" s="548"/>
    </row>
    <row r="49" spans="1:16" s="547" customFormat="1" ht="20.149999999999999" customHeight="1">
      <c r="A49" s="543"/>
      <c r="B49" s="538"/>
      <c r="C49" s="551" t="s">
        <v>383</v>
      </c>
      <c r="D49" s="539" t="s">
        <v>355</v>
      </c>
      <c r="E49" s="539" t="s">
        <v>105</v>
      </c>
      <c r="F49" s="435" t="s">
        <v>382</v>
      </c>
      <c r="G49" s="544">
        <v>207</v>
      </c>
      <c r="H49" s="544">
        <v>207</v>
      </c>
      <c r="I49" s="544">
        <v>207</v>
      </c>
      <c r="J49" s="544">
        <v>207</v>
      </c>
      <c r="K49" s="544">
        <v>207</v>
      </c>
      <c r="L49" s="544" t="s">
        <v>225</v>
      </c>
      <c r="M49" s="545" t="s">
        <v>225</v>
      </c>
      <c r="N49" s="546">
        <v>207</v>
      </c>
      <c r="P49" s="548"/>
    </row>
    <row r="50" spans="1:16" ht="20.149999999999999" customHeight="1">
      <c r="B50" s="538"/>
      <c r="C50" s="539" t="s">
        <v>361</v>
      </c>
      <c r="D50" s="539" t="s">
        <v>355</v>
      </c>
      <c r="E50" s="539" t="s">
        <v>105</v>
      </c>
      <c r="F50" s="435" t="s">
        <v>382</v>
      </c>
      <c r="G50" s="544">
        <v>79</v>
      </c>
      <c r="H50" s="544">
        <v>79</v>
      </c>
      <c r="I50" s="544">
        <v>80</v>
      </c>
      <c r="J50" s="544">
        <v>82</v>
      </c>
      <c r="K50" s="544">
        <v>83.35</v>
      </c>
      <c r="L50" s="549" t="s">
        <v>225</v>
      </c>
      <c r="M50" s="550" t="s">
        <v>225</v>
      </c>
      <c r="N50" s="546">
        <v>80.67</v>
      </c>
      <c r="P50" s="536"/>
    </row>
    <row r="51" spans="1:16" s="547" customFormat="1" ht="20.149999999999999" customHeight="1">
      <c r="A51" s="543"/>
      <c r="B51" s="531" t="s">
        <v>384</v>
      </c>
      <c r="C51" s="539" t="s">
        <v>294</v>
      </c>
      <c r="D51" s="539" t="s">
        <v>385</v>
      </c>
      <c r="E51" s="539" t="s">
        <v>105</v>
      </c>
      <c r="F51" s="539" t="s">
        <v>105</v>
      </c>
      <c r="G51" s="544">
        <v>110</v>
      </c>
      <c r="H51" s="544">
        <v>115</v>
      </c>
      <c r="I51" s="544">
        <v>112</v>
      </c>
      <c r="J51" s="544">
        <v>120</v>
      </c>
      <c r="K51" s="544">
        <v>109</v>
      </c>
      <c r="L51" s="544" t="s">
        <v>225</v>
      </c>
      <c r="M51" s="545" t="s">
        <v>225</v>
      </c>
      <c r="N51" s="546">
        <v>113.12</v>
      </c>
      <c r="P51" s="548"/>
    </row>
    <row r="52" spans="1:16" ht="20.149999999999999" customHeight="1">
      <c r="B52" s="538"/>
      <c r="C52" s="539" t="s">
        <v>381</v>
      </c>
      <c r="D52" s="539" t="s">
        <v>355</v>
      </c>
      <c r="E52" s="539" t="s">
        <v>105</v>
      </c>
      <c r="F52" s="539" t="s">
        <v>105</v>
      </c>
      <c r="G52" s="405">
        <v>81.819999999999993</v>
      </c>
      <c r="H52" s="405">
        <v>81.819999999999993</v>
      </c>
      <c r="I52" s="405">
        <v>81.819999999999993</v>
      </c>
      <c r="J52" s="405">
        <v>81.819999999999993</v>
      </c>
      <c r="K52" s="405">
        <v>81.819999999999993</v>
      </c>
      <c r="L52" s="405" t="s">
        <v>225</v>
      </c>
      <c r="M52" s="540" t="s">
        <v>225</v>
      </c>
      <c r="N52" s="541">
        <v>81.819999999999993</v>
      </c>
      <c r="P52" s="536"/>
    </row>
    <row r="53" spans="1:16" ht="20.149999999999999" customHeight="1">
      <c r="B53" s="538"/>
      <c r="C53" s="539" t="s">
        <v>386</v>
      </c>
      <c r="D53" s="539" t="s">
        <v>355</v>
      </c>
      <c r="E53" s="539" t="s">
        <v>105</v>
      </c>
      <c r="F53" s="539" t="s">
        <v>105</v>
      </c>
      <c r="G53" s="405">
        <v>223.29</v>
      </c>
      <c r="H53" s="405">
        <v>223.29</v>
      </c>
      <c r="I53" s="405">
        <v>223.29</v>
      </c>
      <c r="J53" s="405">
        <v>223.29</v>
      </c>
      <c r="K53" s="405">
        <v>223.29</v>
      </c>
      <c r="L53" s="405" t="s">
        <v>225</v>
      </c>
      <c r="M53" s="540" t="s">
        <v>225</v>
      </c>
      <c r="N53" s="541">
        <v>223.29</v>
      </c>
      <c r="P53" s="536"/>
    </row>
    <row r="54" spans="1:16" ht="20.149999999999999" customHeight="1">
      <c r="B54" s="538"/>
      <c r="C54" s="539" t="s">
        <v>387</v>
      </c>
      <c r="D54" s="539" t="s">
        <v>355</v>
      </c>
      <c r="E54" s="539" t="s">
        <v>105</v>
      </c>
      <c r="F54" s="539" t="s">
        <v>105</v>
      </c>
      <c r="G54" s="405">
        <v>163.56</v>
      </c>
      <c r="H54" s="405">
        <v>163.56</v>
      </c>
      <c r="I54" s="405">
        <v>163.56</v>
      </c>
      <c r="J54" s="405">
        <v>163.56</v>
      </c>
      <c r="K54" s="405">
        <v>163.56</v>
      </c>
      <c r="L54" s="405" t="s">
        <v>225</v>
      </c>
      <c r="M54" s="540" t="s">
        <v>225</v>
      </c>
      <c r="N54" s="541">
        <v>163.56</v>
      </c>
      <c r="P54" s="536"/>
    </row>
    <row r="55" spans="1:16" s="547" customFormat="1" ht="20.149999999999999" customHeight="1">
      <c r="A55" s="543"/>
      <c r="B55" s="538"/>
      <c r="C55" s="539" t="s">
        <v>354</v>
      </c>
      <c r="D55" s="539" t="s">
        <v>355</v>
      </c>
      <c r="E55" s="539" t="s">
        <v>105</v>
      </c>
      <c r="F55" s="539" t="s">
        <v>105</v>
      </c>
      <c r="G55" s="544">
        <v>75</v>
      </c>
      <c r="H55" s="544">
        <v>75</v>
      </c>
      <c r="I55" s="544">
        <v>75</v>
      </c>
      <c r="J55" s="544">
        <v>75</v>
      </c>
      <c r="K55" s="544">
        <v>75</v>
      </c>
      <c r="L55" s="544" t="s">
        <v>225</v>
      </c>
      <c r="M55" s="545" t="s">
        <v>225</v>
      </c>
      <c r="N55" s="546">
        <v>75</v>
      </c>
      <c r="P55" s="548"/>
    </row>
    <row r="56" spans="1:16" ht="20.149999999999999" customHeight="1">
      <c r="B56" s="538"/>
      <c r="C56" s="539" t="s">
        <v>322</v>
      </c>
      <c r="D56" s="539" t="s">
        <v>355</v>
      </c>
      <c r="E56" s="539" t="s">
        <v>105</v>
      </c>
      <c r="F56" s="539" t="s">
        <v>105</v>
      </c>
      <c r="G56" s="405">
        <v>63</v>
      </c>
      <c r="H56" s="405">
        <v>63</v>
      </c>
      <c r="I56" s="405">
        <v>63</v>
      </c>
      <c r="J56" s="405">
        <v>63</v>
      </c>
      <c r="K56" s="405">
        <v>63</v>
      </c>
      <c r="L56" s="405" t="s">
        <v>225</v>
      </c>
      <c r="M56" s="540" t="s">
        <v>225</v>
      </c>
      <c r="N56" s="541">
        <v>63</v>
      </c>
      <c r="P56" s="536"/>
    </row>
    <row r="57" spans="1:16" ht="20.149999999999999" customHeight="1">
      <c r="B57" s="538"/>
      <c r="C57" s="539" t="s">
        <v>388</v>
      </c>
      <c r="D57" s="539" t="s">
        <v>355</v>
      </c>
      <c r="E57" s="539" t="s">
        <v>105</v>
      </c>
      <c r="F57" s="539" t="s">
        <v>105</v>
      </c>
      <c r="G57" s="405">
        <v>191.5</v>
      </c>
      <c r="H57" s="405">
        <v>191.5</v>
      </c>
      <c r="I57" s="405">
        <v>191.5</v>
      </c>
      <c r="J57" s="405">
        <v>191.5</v>
      </c>
      <c r="K57" s="405">
        <v>191.5</v>
      </c>
      <c r="L57" s="405" t="s">
        <v>225</v>
      </c>
      <c r="M57" s="540" t="s">
        <v>225</v>
      </c>
      <c r="N57" s="541">
        <v>191.5</v>
      </c>
      <c r="P57" s="536"/>
    </row>
    <row r="58" spans="1:16" ht="20.149999999999999" customHeight="1">
      <c r="B58" s="542" t="s">
        <v>389</v>
      </c>
      <c r="C58" s="539" t="s">
        <v>294</v>
      </c>
      <c r="D58" s="539" t="s">
        <v>390</v>
      </c>
      <c r="E58" s="539" t="s">
        <v>105</v>
      </c>
      <c r="F58" s="539" t="s">
        <v>105</v>
      </c>
      <c r="G58" s="405">
        <v>145</v>
      </c>
      <c r="H58" s="405">
        <v>135</v>
      </c>
      <c r="I58" s="405">
        <v>145</v>
      </c>
      <c r="J58" s="405">
        <v>135</v>
      </c>
      <c r="K58" s="405">
        <v>140</v>
      </c>
      <c r="L58" s="405" t="s">
        <v>225</v>
      </c>
      <c r="M58" s="540" t="s">
        <v>225</v>
      </c>
      <c r="N58" s="541">
        <v>139.37</v>
      </c>
      <c r="P58" s="536"/>
    </row>
    <row r="59" spans="1:16" s="547" customFormat="1" ht="20.149999999999999" customHeight="1">
      <c r="A59" s="543"/>
      <c r="B59" s="531" t="s">
        <v>391</v>
      </c>
      <c r="C59" s="539" t="s">
        <v>294</v>
      </c>
      <c r="D59" s="435" t="s">
        <v>347</v>
      </c>
      <c r="E59" s="539" t="s">
        <v>105</v>
      </c>
      <c r="F59" s="539" t="s">
        <v>105</v>
      </c>
      <c r="G59" s="544">
        <v>165</v>
      </c>
      <c r="H59" s="544">
        <v>170</v>
      </c>
      <c r="I59" s="544">
        <v>105</v>
      </c>
      <c r="J59" s="544">
        <v>180</v>
      </c>
      <c r="K59" s="544">
        <v>176</v>
      </c>
      <c r="L59" s="544" t="s">
        <v>225</v>
      </c>
      <c r="M59" s="545" t="s">
        <v>225</v>
      </c>
      <c r="N59" s="546">
        <v>161.94999999999999</v>
      </c>
      <c r="P59" s="548"/>
    </row>
    <row r="60" spans="1:16" s="547" customFormat="1" ht="20.149999999999999" customHeight="1">
      <c r="A60" s="543"/>
      <c r="B60" s="538"/>
      <c r="C60" s="539" t="s">
        <v>361</v>
      </c>
      <c r="D60" s="435" t="s">
        <v>347</v>
      </c>
      <c r="E60" s="539" t="s">
        <v>105</v>
      </c>
      <c r="F60" s="539" t="s">
        <v>105</v>
      </c>
      <c r="G60" s="544">
        <v>137.75</v>
      </c>
      <c r="H60" s="544">
        <v>140</v>
      </c>
      <c r="I60" s="544">
        <v>143.69999999999999</v>
      </c>
      <c r="J60" s="544">
        <v>144.69999999999999</v>
      </c>
      <c r="K60" s="544">
        <v>144.69999999999999</v>
      </c>
      <c r="L60" s="544" t="s">
        <v>225</v>
      </c>
      <c r="M60" s="545" t="s">
        <v>225</v>
      </c>
      <c r="N60" s="546">
        <v>142.16999999999999</v>
      </c>
      <c r="P60" s="548"/>
    </row>
    <row r="61" spans="1:16" s="547" customFormat="1" ht="20.149999999999999" customHeight="1">
      <c r="A61" s="543"/>
      <c r="B61" s="542" t="s">
        <v>392</v>
      </c>
      <c r="C61" s="539" t="s">
        <v>381</v>
      </c>
      <c r="D61" s="435" t="s">
        <v>347</v>
      </c>
      <c r="E61" s="539" t="s">
        <v>105</v>
      </c>
      <c r="F61" s="539" t="s">
        <v>105</v>
      </c>
      <c r="G61" s="544">
        <v>375.15</v>
      </c>
      <c r="H61" s="544">
        <v>375.15</v>
      </c>
      <c r="I61" s="544">
        <v>375.15</v>
      </c>
      <c r="J61" s="544">
        <v>375.15</v>
      </c>
      <c r="K61" s="544">
        <v>375.15</v>
      </c>
      <c r="L61" s="544" t="s">
        <v>225</v>
      </c>
      <c r="M61" s="545" t="s">
        <v>225</v>
      </c>
      <c r="N61" s="546">
        <v>375.15</v>
      </c>
      <c r="P61" s="548"/>
    </row>
    <row r="62" spans="1:16" s="547" customFormat="1" ht="20.149999999999999" customHeight="1">
      <c r="A62" s="543"/>
      <c r="B62" s="552" t="s">
        <v>393</v>
      </c>
      <c r="C62" s="539" t="s">
        <v>369</v>
      </c>
      <c r="D62" s="435" t="s">
        <v>394</v>
      </c>
      <c r="E62" s="539" t="s">
        <v>105</v>
      </c>
      <c r="F62" s="539" t="s">
        <v>105</v>
      </c>
      <c r="G62" s="544">
        <v>549.16999999999996</v>
      </c>
      <c r="H62" s="544">
        <v>583.74</v>
      </c>
      <c r="I62" s="544">
        <v>588.34</v>
      </c>
      <c r="J62" s="544">
        <v>637.36</v>
      </c>
      <c r="K62" s="544">
        <v>627</v>
      </c>
      <c r="L62" s="544">
        <v>680</v>
      </c>
      <c r="M62" s="545" t="s">
        <v>225</v>
      </c>
      <c r="N62" s="546">
        <v>592.45000000000005</v>
      </c>
      <c r="P62" s="548"/>
    </row>
    <row r="63" spans="1:16" s="555" customFormat="1" ht="20.149999999999999" customHeight="1">
      <c r="A63" s="553"/>
      <c r="B63" s="554"/>
      <c r="C63" s="435" t="s">
        <v>339</v>
      </c>
      <c r="D63" s="435" t="s">
        <v>394</v>
      </c>
      <c r="E63" s="435" t="s">
        <v>105</v>
      </c>
      <c r="F63" s="435" t="s">
        <v>105</v>
      </c>
      <c r="G63" s="544">
        <v>486</v>
      </c>
      <c r="H63" s="544">
        <v>472</v>
      </c>
      <c r="I63" s="544">
        <v>563</v>
      </c>
      <c r="J63" s="544">
        <v>525</v>
      </c>
      <c r="K63" s="544">
        <v>478</v>
      </c>
      <c r="L63" s="544">
        <v>572</v>
      </c>
      <c r="M63" s="545" t="s">
        <v>225</v>
      </c>
      <c r="N63" s="546">
        <v>512.47</v>
      </c>
      <c r="P63" s="556"/>
    </row>
    <row r="64" spans="1:16" s="547" customFormat="1" ht="20.149999999999999" customHeight="1">
      <c r="A64" s="543"/>
      <c r="B64" s="531" t="s">
        <v>395</v>
      </c>
      <c r="C64" s="539" t="s">
        <v>294</v>
      </c>
      <c r="D64" s="435" t="s">
        <v>396</v>
      </c>
      <c r="E64" s="539" t="s">
        <v>291</v>
      </c>
      <c r="F64" s="539" t="s">
        <v>105</v>
      </c>
      <c r="G64" s="544">
        <v>110</v>
      </c>
      <c r="H64" s="544">
        <v>110</v>
      </c>
      <c r="I64" s="544">
        <v>105</v>
      </c>
      <c r="J64" s="544">
        <v>105</v>
      </c>
      <c r="K64" s="544">
        <v>103</v>
      </c>
      <c r="L64" s="544" t="s">
        <v>225</v>
      </c>
      <c r="M64" s="545" t="s">
        <v>225</v>
      </c>
      <c r="N64" s="546">
        <v>105.66</v>
      </c>
      <c r="P64" s="548"/>
    </row>
    <row r="65" spans="1:16" s="547" customFormat="1" ht="20.149999999999999" customHeight="1">
      <c r="A65" s="543"/>
      <c r="B65" s="538"/>
      <c r="C65" s="539" t="s">
        <v>294</v>
      </c>
      <c r="D65" s="435" t="s">
        <v>397</v>
      </c>
      <c r="E65" s="539" t="s">
        <v>291</v>
      </c>
      <c r="F65" s="539" t="s">
        <v>398</v>
      </c>
      <c r="G65" s="544">
        <v>120</v>
      </c>
      <c r="H65" s="544">
        <v>105</v>
      </c>
      <c r="I65" s="544">
        <v>103</v>
      </c>
      <c r="J65" s="544">
        <v>105</v>
      </c>
      <c r="K65" s="544">
        <v>107</v>
      </c>
      <c r="L65" s="544" t="s">
        <v>225</v>
      </c>
      <c r="M65" s="545" t="s">
        <v>225</v>
      </c>
      <c r="N65" s="546">
        <v>109.11</v>
      </c>
      <c r="P65" s="548"/>
    </row>
    <row r="66" spans="1:16" s="547" customFormat="1" ht="20.149999999999999" customHeight="1">
      <c r="A66" s="543"/>
      <c r="B66" s="538"/>
      <c r="C66" s="539" t="s">
        <v>381</v>
      </c>
      <c r="D66" s="435" t="s">
        <v>399</v>
      </c>
      <c r="E66" s="539" t="s">
        <v>291</v>
      </c>
      <c r="F66" s="539" t="s">
        <v>398</v>
      </c>
      <c r="G66" s="544">
        <v>133.33000000000001</v>
      </c>
      <c r="H66" s="544">
        <v>133.33000000000001</v>
      </c>
      <c r="I66" s="544">
        <v>133.33000000000001</v>
      </c>
      <c r="J66" s="544">
        <v>133.33000000000001</v>
      </c>
      <c r="K66" s="544">
        <v>133.33000000000001</v>
      </c>
      <c r="L66" s="544" t="s">
        <v>225</v>
      </c>
      <c r="M66" s="545" t="s">
        <v>225</v>
      </c>
      <c r="N66" s="546">
        <v>133.33000000000001</v>
      </c>
      <c r="P66" s="548"/>
    </row>
    <row r="67" spans="1:16" s="547" customFormat="1" ht="20.149999999999999" customHeight="1">
      <c r="A67" s="543"/>
      <c r="B67" s="538"/>
      <c r="C67" s="539" t="s">
        <v>294</v>
      </c>
      <c r="D67" s="435" t="s">
        <v>399</v>
      </c>
      <c r="E67" s="539" t="s">
        <v>291</v>
      </c>
      <c r="F67" s="435" t="s">
        <v>398</v>
      </c>
      <c r="G67" s="544">
        <v>105</v>
      </c>
      <c r="H67" s="544">
        <v>102</v>
      </c>
      <c r="I67" s="544">
        <v>103</v>
      </c>
      <c r="J67" s="544">
        <v>118</v>
      </c>
      <c r="K67" s="544">
        <v>110</v>
      </c>
      <c r="L67" s="544" t="s">
        <v>225</v>
      </c>
      <c r="M67" s="545" t="s">
        <v>225</v>
      </c>
      <c r="N67" s="546">
        <v>107.68</v>
      </c>
      <c r="P67" s="548"/>
    </row>
    <row r="68" spans="1:16" s="547" customFormat="1" ht="20.149999999999999" customHeight="1">
      <c r="A68" s="543"/>
      <c r="B68" s="538"/>
      <c r="C68" s="551" t="s">
        <v>322</v>
      </c>
      <c r="D68" s="435" t="s">
        <v>355</v>
      </c>
      <c r="E68" s="539" t="s">
        <v>291</v>
      </c>
      <c r="F68" s="435" t="s">
        <v>398</v>
      </c>
      <c r="G68" s="544">
        <v>158</v>
      </c>
      <c r="H68" s="544">
        <v>158</v>
      </c>
      <c r="I68" s="544">
        <v>158</v>
      </c>
      <c r="J68" s="544">
        <v>158</v>
      </c>
      <c r="K68" s="544">
        <v>158</v>
      </c>
      <c r="L68" s="544" t="s">
        <v>225</v>
      </c>
      <c r="M68" s="545" t="s">
        <v>225</v>
      </c>
      <c r="N68" s="546">
        <v>158</v>
      </c>
      <c r="P68" s="548"/>
    </row>
    <row r="69" spans="1:16" s="547" customFormat="1" ht="20.149999999999999" customHeight="1">
      <c r="A69" s="543"/>
      <c r="B69" s="538"/>
      <c r="C69" s="551" t="s">
        <v>361</v>
      </c>
      <c r="D69" s="435" t="s">
        <v>355</v>
      </c>
      <c r="E69" s="539" t="s">
        <v>291</v>
      </c>
      <c r="F69" s="435" t="s">
        <v>398</v>
      </c>
      <c r="G69" s="544">
        <v>55</v>
      </c>
      <c r="H69" s="544">
        <v>55</v>
      </c>
      <c r="I69" s="544">
        <v>55</v>
      </c>
      <c r="J69" s="544">
        <v>55</v>
      </c>
      <c r="K69" s="544">
        <v>55</v>
      </c>
      <c r="L69" s="544" t="s">
        <v>225</v>
      </c>
      <c r="M69" s="545" t="s">
        <v>225</v>
      </c>
      <c r="N69" s="546">
        <v>55</v>
      </c>
      <c r="P69" s="548"/>
    </row>
    <row r="70" spans="1:16" ht="20.149999999999999" customHeight="1">
      <c r="B70" s="531" t="s">
        <v>400</v>
      </c>
      <c r="C70" s="539" t="s">
        <v>401</v>
      </c>
      <c r="D70" s="539" t="s">
        <v>347</v>
      </c>
      <c r="E70" s="404" t="s">
        <v>105</v>
      </c>
      <c r="F70" s="435" t="s">
        <v>402</v>
      </c>
      <c r="G70" s="405">
        <v>50</v>
      </c>
      <c r="H70" s="405">
        <v>50</v>
      </c>
      <c r="I70" s="405">
        <v>50</v>
      </c>
      <c r="J70" s="405">
        <v>50</v>
      </c>
      <c r="K70" s="405">
        <v>50</v>
      </c>
      <c r="L70" s="405" t="s">
        <v>225</v>
      </c>
      <c r="M70" s="540" t="s">
        <v>225</v>
      </c>
      <c r="N70" s="541">
        <v>50</v>
      </c>
      <c r="P70" s="536"/>
    </row>
    <row r="71" spans="1:16" ht="20.149999999999999" customHeight="1">
      <c r="B71" s="538"/>
      <c r="C71" s="539" t="s">
        <v>357</v>
      </c>
      <c r="D71" s="539" t="s">
        <v>347</v>
      </c>
      <c r="E71" s="404" t="s">
        <v>105</v>
      </c>
      <c r="F71" s="435" t="s">
        <v>402</v>
      </c>
      <c r="G71" s="405">
        <v>93</v>
      </c>
      <c r="H71" s="405">
        <v>93</v>
      </c>
      <c r="I71" s="405">
        <v>93</v>
      </c>
      <c r="J71" s="405">
        <v>93</v>
      </c>
      <c r="K71" s="405">
        <v>93</v>
      </c>
      <c r="L71" s="405" t="s">
        <v>225</v>
      </c>
      <c r="M71" s="540" t="s">
        <v>225</v>
      </c>
      <c r="N71" s="541">
        <v>93</v>
      </c>
      <c r="P71" s="536"/>
    </row>
    <row r="72" spans="1:16" s="558" customFormat="1" ht="20.149999999999999" customHeight="1">
      <c r="A72" s="557"/>
      <c r="B72" s="552" t="s">
        <v>403</v>
      </c>
      <c r="C72" s="434" t="s">
        <v>369</v>
      </c>
      <c r="D72" s="435" t="s">
        <v>404</v>
      </c>
      <c r="E72" s="435" t="s">
        <v>105</v>
      </c>
      <c r="F72" s="435" t="s">
        <v>405</v>
      </c>
      <c r="G72" s="544">
        <v>67.98</v>
      </c>
      <c r="H72" s="544">
        <v>84.28</v>
      </c>
      <c r="I72" s="544">
        <v>85.92</v>
      </c>
      <c r="J72" s="544">
        <v>90.57</v>
      </c>
      <c r="K72" s="544">
        <v>82.97</v>
      </c>
      <c r="L72" s="549">
        <v>98.28</v>
      </c>
      <c r="M72" s="550" t="s">
        <v>225</v>
      </c>
      <c r="N72" s="546">
        <v>82.21</v>
      </c>
      <c r="P72" s="559"/>
    </row>
    <row r="73" spans="1:16" s="558" customFormat="1" ht="20.149999999999999" customHeight="1">
      <c r="A73" s="557"/>
      <c r="B73" s="560"/>
      <c r="C73" s="434" t="s">
        <v>339</v>
      </c>
      <c r="D73" s="435" t="s">
        <v>404</v>
      </c>
      <c r="E73" s="435" t="s">
        <v>105</v>
      </c>
      <c r="F73" s="435" t="s">
        <v>405</v>
      </c>
      <c r="G73" s="544">
        <v>96</v>
      </c>
      <c r="H73" s="544">
        <v>87</v>
      </c>
      <c r="I73" s="544">
        <v>105</v>
      </c>
      <c r="J73" s="544">
        <v>99</v>
      </c>
      <c r="K73" s="544">
        <v>98</v>
      </c>
      <c r="L73" s="549">
        <v>101</v>
      </c>
      <c r="M73" s="550" t="s">
        <v>225</v>
      </c>
      <c r="N73" s="546">
        <v>97.21</v>
      </c>
      <c r="P73" s="559"/>
    </row>
    <row r="74" spans="1:16" s="558" customFormat="1" ht="20.149999999999999" customHeight="1">
      <c r="A74" s="557"/>
      <c r="B74" s="560"/>
      <c r="C74" s="434" t="s">
        <v>369</v>
      </c>
      <c r="D74" s="435" t="s">
        <v>406</v>
      </c>
      <c r="E74" s="435" t="s">
        <v>105</v>
      </c>
      <c r="F74" s="435" t="s">
        <v>105</v>
      </c>
      <c r="G74" s="544">
        <v>102</v>
      </c>
      <c r="H74" s="544">
        <v>109</v>
      </c>
      <c r="I74" s="544">
        <v>93</v>
      </c>
      <c r="J74" s="544">
        <v>85</v>
      </c>
      <c r="K74" s="544">
        <v>71</v>
      </c>
      <c r="L74" s="544">
        <v>71</v>
      </c>
      <c r="M74" s="545" t="s">
        <v>225</v>
      </c>
      <c r="N74" s="546">
        <v>90.32</v>
      </c>
      <c r="P74" s="559"/>
    </row>
    <row r="75" spans="1:16" s="558" customFormat="1" ht="20.149999999999999" customHeight="1">
      <c r="A75" s="557"/>
      <c r="B75" s="560"/>
      <c r="C75" s="434" t="s">
        <v>354</v>
      </c>
      <c r="D75" s="435" t="s">
        <v>406</v>
      </c>
      <c r="E75" s="435" t="s">
        <v>105</v>
      </c>
      <c r="F75" s="435" t="s">
        <v>105</v>
      </c>
      <c r="G75" s="544">
        <v>130</v>
      </c>
      <c r="H75" s="544">
        <v>130</v>
      </c>
      <c r="I75" s="544">
        <v>130</v>
      </c>
      <c r="J75" s="544">
        <v>130</v>
      </c>
      <c r="K75" s="544">
        <v>130</v>
      </c>
      <c r="L75" s="544" t="s">
        <v>225</v>
      </c>
      <c r="M75" s="545" t="s">
        <v>225</v>
      </c>
      <c r="N75" s="546">
        <v>130</v>
      </c>
      <c r="P75" s="559"/>
    </row>
    <row r="76" spans="1:16" s="555" customFormat="1" ht="20.149999999999999" customHeight="1">
      <c r="A76" s="553"/>
      <c r="B76" s="560"/>
      <c r="C76" s="434" t="s">
        <v>294</v>
      </c>
      <c r="D76" s="435" t="s">
        <v>406</v>
      </c>
      <c r="E76" s="435" t="s">
        <v>105</v>
      </c>
      <c r="F76" s="435" t="s">
        <v>105</v>
      </c>
      <c r="G76" s="544">
        <v>140</v>
      </c>
      <c r="H76" s="544">
        <v>180</v>
      </c>
      <c r="I76" s="544">
        <v>135</v>
      </c>
      <c r="J76" s="544">
        <v>145</v>
      </c>
      <c r="K76" s="544">
        <v>135</v>
      </c>
      <c r="L76" s="544" t="s">
        <v>225</v>
      </c>
      <c r="M76" s="545" t="s">
        <v>225</v>
      </c>
      <c r="N76" s="546">
        <v>142.61000000000001</v>
      </c>
      <c r="P76" s="556"/>
    </row>
    <row r="77" spans="1:16" ht="20.149999999999999" customHeight="1">
      <c r="B77" s="531" t="s">
        <v>407</v>
      </c>
      <c r="C77" s="539" t="s">
        <v>369</v>
      </c>
      <c r="D77" s="539" t="s">
        <v>408</v>
      </c>
      <c r="E77" s="404" t="s">
        <v>291</v>
      </c>
      <c r="F77" s="539" t="s">
        <v>409</v>
      </c>
      <c r="G77" s="405">
        <v>180.28</v>
      </c>
      <c r="H77" s="405">
        <v>181.31</v>
      </c>
      <c r="I77" s="405">
        <v>186.49</v>
      </c>
      <c r="J77" s="405">
        <v>177.2</v>
      </c>
      <c r="K77" s="405">
        <v>154.36000000000001</v>
      </c>
      <c r="L77" s="405">
        <v>126.37</v>
      </c>
      <c r="M77" s="540" t="s">
        <v>225</v>
      </c>
      <c r="N77" s="541">
        <v>169.1</v>
      </c>
      <c r="P77" s="536"/>
    </row>
    <row r="78" spans="1:16" ht="20.149999999999999" customHeight="1">
      <c r="B78" s="538"/>
      <c r="C78" s="551" t="s">
        <v>294</v>
      </c>
      <c r="D78" s="539" t="s">
        <v>408</v>
      </c>
      <c r="E78" s="404" t="s">
        <v>291</v>
      </c>
      <c r="F78" s="539" t="s">
        <v>409</v>
      </c>
      <c r="G78" s="405">
        <v>161.56</v>
      </c>
      <c r="H78" s="405">
        <v>201.13</v>
      </c>
      <c r="I78" s="405">
        <v>219.14</v>
      </c>
      <c r="J78" s="405">
        <v>217.73</v>
      </c>
      <c r="K78" s="405">
        <v>205.77</v>
      </c>
      <c r="L78" s="405" t="s">
        <v>225</v>
      </c>
      <c r="M78" s="540" t="s">
        <v>225</v>
      </c>
      <c r="N78" s="541">
        <v>198.98</v>
      </c>
      <c r="P78" s="536"/>
    </row>
    <row r="79" spans="1:16" ht="20.149999999999999" customHeight="1">
      <c r="B79" s="538"/>
      <c r="C79" s="551" t="s">
        <v>369</v>
      </c>
      <c r="D79" s="539" t="s">
        <v>410</v>
      </c>
      <c r="E79" s="404" t="s">
        <v>291</v>
      </c>
      <c r="F79" s="539" t="s">
        <v>409</v>
      </c>
      <c r="G79" s="405">
        <v>149</v>
      </c>
      <c r="H79" s="405">
        <v>177.5</v>
      </c>
      <c r="I79" s="405">
        <v>172.5</v>
      </c>
      <c r="J79" s="405">
        <v>179</v>
      </c>
      <c r="K79" s="405">
        <v>103</v>
      </c>
      <c r="L79" s="406">
        <v>117</v>
      </c>
      <c r="M79" s="561" t="s">
        <v>225</v>
      </c>
      <c r="N79" s="541">
        <v>156.75</v>
      </c>
      <c r="P79" s="536"/>
    </row>
    <row r="80" spans="1:16" ht="20.149999999999999" customHeight="1">
      <c r="B80" s="538"/>
      <c r="C80" s="551" t="s">
        <v>294</v>
      </c>
      <c r="D80" s="539" t="s">
        <v>410</v>
      </c>
      <c r="E80" s="404" t="s">
        <v>291</v>
      </c>
      <c r="F80" s="539" t="s">
        <v>409</v>
      </c>
      <c r="G80" s="405">
        <v>153.51</v>
      </c>
      <c r="H80" s="405">
        <v>167.43</v>
      </c>
      <c r="I80" s="405">
        <v>163.87</v>
      </c>
      <c r="J80" s="405">
        <v>165.69</v>
      </c>
      <c r="K80" s="405">
        <v>173.87</v>
      </c>
      <c r="L80" s="406" t="s">
        <v>225</v>
      </c>
      <c r="M80" s="561" t="s">
        <v>225</v>
      </c>
      <c r="N80" s="541">
        <v>164.88</v>
      </c>
      <c r="P80" s="536"/>
    </row>
    <row r="81" spans="1:16" ht="20.149999999999999" customHeight="1">
      <c r="B81" s="538"/>
      <c r="C81" s="551" t="s">
        <v>369</v>
      </c>
      <c r="D81" s="539" t="s">
        <v>411</v>
      </c>
      <c r="E81" s="404" t="s">
        <v>291</v>
      </c>
      <c r="F81" s="539" t="s">
        <v>412</v>
      </c>
      <c r="G81" s="405">
        <v>251</v>
      </c>
      <c r="H81" s="405">
        <v>259</v>
      </c>
      <c r="I81" s="405">
        <v>260</v>
      </c>
      <c r="J81" s="405">
        <v>251</v>
      </c>
      <c r="K81" s="405">
        <v>270</v>
      </c>
      <c r="L81" s="406">
        <v>267</v>
      </c>
      <c r="M81" s="561" t="s">
        <v>225</v>
      </c>
      <c r="N81" s="541">
        <v>259.33</v>
      </c>
      <c r="P81" s="536"/>
    </row>
    <row r="82" spans="1:16" ht="20.149999999999999" customHeight="1">
      <c r="B82" s="538"/>
      <c r="C82" s="551" t="s">
        <v>294</v>
      </c>
      <c r="D82" s="539" t="s">
        <v>411</v>
      </c>
      <c r="E82" s="404" t="s">
        <v>291</v>
      </c>
      <c r="F82" s="539" t="s">
        <v>412</v>
      </c>
      <c r="G82" s="405">
        <v>130</v>
      </c>
      <c r="H82" s="405">
        <v>145</v>
      </c>
      <c r="I82" s="405">
        <v>160</v>
      </c>
      <c r="J82" s="405">
        <v>155</v>
      </c>
      <c r="K82" s="405">
        <v>185</v>
      </c>
      <c r="L82" s="406" t="s">
        <v>225</v>
      </c>
      <c r="M82" s="561" t="s">
        <v>225</v>
      </c>
      <c r="N82" s="541">
        <v>161.51</v>
      </c>
      <c r="P82" s="536"/>
    </row>
    <row r="83" spans="1:16" ht="20.149999999999999" customHeight="1">
      <c r="B83" s="531" t="s">
        <v>413</v>
      </c>
      <c r="C83" s="539" t="s">
        <v>322</v>
      </c>
      <c r="D83" s="539" t="s">
        <v>355</v>
      </c>
      <c r="E83" s="404" t="s">
        <v>105</v>
      </c>
      <c r="F83" s="435" t="s">
        <v>105</v>
      </c>
      <c r="G83" s="405">
        <v>96</v>
      </c>
      <c r="H83" s="405">
        <v>96</v>
      </c>
      <c r="I83" s="405">
        <v>96</v>
      </c>
      <c r="J83" s="405">
        <v>96</v>
      </c>
      <c r="K83" s="405">
        <v>96</v>
      </c>
      <c r="L83" s="405" t="s">
        <v>225</v>
      </c>
      <c r="M83" s="540" t="s">
        <v>225</v>
      </c>
      <c r="N83" s="541">
        <v>96</v>
      </c>
      <c r="P83" s="536"/>
    </row>
    <row r="84" spans="1:16" ht="20.149999999999999" customHeight="1">
      <c r="B84" s="538"/>
      <c r="C84" s="539" t="s">
        <v>383</v>
      </c>
      <c r="D84" s="539" t="s">
        <v>355</v>
      </c>
      <c r="E84" s="404" t="s">
        <v>105</v>
      </c>
      <c r="F84" s="435" t="s">
        <v>105</v>
      </c>
      <c r="G84" s="405">
        <v>70.5</v>
      </c>
      <c r="H84" s="405">
        <v>70.5</v>
      </c>
      <c r="I84" s="405">
        <v>70.5</v>
      </c>
      <c r="J84" s="405">
        <v>70.5</v>
      </c>
      <c r="K84" s="405">
        <v>70.5</v>
      </c>
      <c r="L84" s="405" t="s">
        <v>225</v>
      </c>
      <c r="M84" s="540" t="s">
        <v>225</v>
      </c>
      <c r="N84" s="541">
        <v>70.5</v>
      </c>
      <c r="P84" s="536"/>
    </row>
    <row r="85" spans="1:16" ht="20.149999999999999" customHeight="1">
      <c r="B85" s="538"/>
      <c r="C85" s="539" t="s">
        <v>361</v>
      </c>
      <c r="D85" s="539" t="s">
        <v>355</v>
      </c>
      <c r="E85" s="404" t="s">
        <v>105</v>
      </c>
      <c r="F85" s="435" t="s">
        <v>105</v>
      </c>
      <c r="G85" s="405">
        <v>117.9</v>
      </c>
      <c r="H85" s="405">
        <v>117.9</v>
      </c>
      <c r="I85" s="405">
        <v>117.9</v>
      </c>
      <c r="J85" s="405">
        <v>117.9</v>
      </c>
      <c r="K85" s="405">
        <v>117.9</v>
      </c>
      <c r="L85" s="405" t="s">
        <v>225</v>
      </c>
      <c r="M85" s="540" t="s">
        <v>225</v>
      </c>
      <c r="N85" s="541">
        <v>117.9</v>
      </c>
      <c r="P85" s="536"/>
    </row>
    <row r="86" spans="1:16" s="558" customFormat="1" ht="20.149999999999999" customHeight="1">
      <c r="A86" s="557"/>
      <c r="B86" s="552" t="s">
        <v>414</v>
      </c>
      <c r="C86" s="435" t="s">
        <v>369</v>
      </c>
      <c r="D86" s="435" t="s">
        <v>415</v>
      </c>
      <c r="E86" s="435" t="s">
        <v>291</v>
      </c>
      <c r="F86" s="435" t="s">
        <v>105</v>
      </c>
      <c r="G86" s="544" t="s">
        <v>225</v>
      </c>
      <c r="H86" s="544">
        <v>420</v>
      </c>
      <c r="I86" s="544">
        <v>442</v>
      </c>
      <c r="J86" s="544">
        <v>458</v>
      </c>
      <c r="K86" s="544">
        <v>479</v>
      </c>
      <c r="L86" s="544">
        <v>442</v>
      </c>
      <c r="M86" s="545" t="s">
        <v>225</v>
      </c>
      <c r="N86" s="546">
        <v>444.23</v>
      </c>
      <c r="P86" s="559"/>
    </row>
    <row r="87" spans="1:16" s="558" customFormat="1" ht="20.149999999999999" customHeight="1">
      <c r="A87" s="557"/>
      <c r="B87" s="560"/>
      <c r="C87" s="435" t="s">
        <v>357</v>
      </c>
      <c r="D87" s="435" t="s">
        <v>415</v>
      </c>
      <c r="E87" s="435" t="s">
        <v>291</v>
      </c>
      <c r="F87" s="435" t="s">
        <v>105</v>
      </c>
      <c r="G87" s="544">
        <v>225</v>
      </c>
      <c r="H87" s="544">
        <v>227</v>
      </c>
      <c r="I87" s="544">
        <v>229</v>
      </c>
      <c r="J87" s="544">
        <v>230</v>
      </c>
      <c r="K87" s="544">
        <v>230</v>
      </c>
      <c r="L87" s="544" t="s">
        <v>225</v>
      </c>
      <c r="M87" s="545" t="s">
        <v>225</v>
      </c>
      <c r="N87" s="546">
        <v>228.2</v>
      </c>
      <c r="P87" s="559"/>
    </row>
    <row r="88" spans="1:16" s="555" customFormat="1" ht="20.149999999999999" customHeight="1">
      <c r="A88" s="553"/>
      <c r="B88" s="560"/>
      <c r="C88" s="434" t="s">
        <v>339</v>
      </c>
      <c r="D88" s="435" t="s">
        <v>415</v>
      </c>
      <c r="E88" s="435" t="s">
        <v>291</v>
      </c>
      <c r="F88" s="435" t="s">
        <v>105</v>
      </c>
      <c r="G88" s="544">
        <v>251.97</v>
      </c>
      <c r="H88" s="544">
        <v>251.97</v>
      </c>
      <c r="I88" s="544">
        <v>251.97</v>
      </c>
      <c r="J88" s="544">
        <v>251.97</v>
      </c>
      <c r="K88" s="544">
        <v>251.97</v>
      </c>
      <c r="L88" s="544" t="s">
        <v>225</v>
      </c>
      <c r="M88" s="545" t="s">
        <v>225</v>
      </c>
      <c r="N88" s="546">
        <v>251.97</v>
      </c>
      <c r="P88" s="556"/>
    </row>
    <row r="89" spans="1:16" s="555" customFormat="1" ht="20.149999999999999" customHeight="1">
      <c r="A89" s="553"/>
      <c r="B89" s="560"/>
      <c r="C89" s="434" t="s">
        <v>293</v>
      </c>
      <c r="D89" s="435" t="s">
        <v>415</v>
      </c>
      <c r="E89" s="435" t="s">
        <v>291</v>
      </c>
      <c r="F89" s="435" t="s">
        <v>105</v>
      </c>
      <c r="G89" s="544">
        <v>190</v>
      </c>
      <c r="H89" s="544">
        <v>190</v>
      </c>
      <c r="I89" s="544">
        <v>190</v>
      </c>
      <c r="J89" s="544">
        <v>190</v>
      </c>
      <c r="K89" s="544">
        <v>190</v>
      </c>
      <c r="L89" s="544" t="s">
        <v>225</v>
      </c>
      <c r="M89" s="545" t="s">
        <v>225</v>
      </c>
      <c r="N89" s="546">
        <v>190</v>
      </c>
      <c r="P89" s="556"/>
    </row>
    <row r="90" spans="1:16" s="555" customFormat="1" ht="20.149999999999999" customHeight="1">
      <c r="A90" s="553"/>
      <c r="B90" s="560"/>
      <c r="C90" s="434" t="s">
        <v>294</v>
      </c>
      <c r="D90" s="435" t="s">
        <v>415</v>
      </c>
      <c r="E90" s="435" t="s">
        <v>291</v>
      </c>
      <c r="F90" s="435" t="s">
        <v>105</v>
      </c>
      <c r="G90" s="544">
        <v>300</v>
      </c>
      <c r="H90" s="544">
        <v>350</v>
      </c>
      <c r="I90" s="544">
        <v>450</v>
      </c>
      <c r="J90" s="544">
        <v>500</v>
      </c>
      <c r="K90" s="544">
        <v>500</v>
      </c>
      <c r="L90" s="544" t="s">
        <v>225</v>
      </c>
      <c r="M90" s="545" t="s">
        <v>225</v>
      </c>
      <c r="N90" s="546">
        <v>415.73</v>
      </c>
      <c r="P90" s="556"/>
    </row>
    <row r="91" spans="1:16" s="555" customFormat="1" ht="20.149999999999999" customHeight="1">
      <c r="A91" s="553"/>
      <c r="B91" s="560"/>
      <c r="C91" s="435" t="s">
        <v>369</v>
      </c>
      <c r="D91" s="435" t="s">
        <v>416</v>
      </c>
      <c r="E91" s="435" t="s">
        <v>291</v>
      </c>
      <c r="F91" s="435" t="s">
        <v>105</v>
      </c>
      <c r="G91" s="544" t="s">
        <v>225</v>
      </c>
      <c r="H91" s="544">
        <v>264</v>
      </c>
      <c r="I91" s="544">
        <v>268</v>
      </c>
      <c r="J91" s="544">
        <v>275</v>
      </c>
      <c r="K91" s="544">
        <v>285</v>
      </c>
      <c r="L91" s="544">
        <v>279</v>
      </c>
      <c r="M91" s="545" t="s">
        <v>225</v>
      </c>
      <c r="N91" s="562">
        <v>274.11</v>
      </c>
      <c r="P91" s="556"/>
    </row>
    <row r="92" spans="1:16" s="555" customFormat="1" ht="20.149999999999999" customHeight="1">
      <c r="A92" s="553"/>
      <c r="B92" s="560"/>
      <c r="C92" s="435" t="s">
        <v>357</v>
      </c>
      <c r="D92" s="435" t="s">
        <v>416</v>
      </c>
      <c r="E92" s="435" t="s">
        <v>291</v>
      </c>
      <c r="F92" s="435" t="s">
        <v>105</v>
      </c>
      <c r="G92" s="544">
        <v>165</v>
      </c>
      <c r="H92" s="544">
        <v>166</v>
      </c>
      <c r="I92" s="544">
        <v>167</v>
      </c>
      <c r="J92" s="544">
        <v>169</v>
      </c>
      <c r="K92" s="544">
        <v>170</v>
      </c>
      <c r="L92" s="544" t="s">
        <v>225</v>
      </c>
      <c r="M92" s="545" t="s">
        <v>225</v>
      </c>
      <c r="N92" s="546">
        <v>167.4</v>
      </c>
      <c r="P92" s="556"/>
    </row>
    <row r="93" spans="1:16" s="555" customFormat="1" ht="20.149999999999999" customHeight="1">
      <c r="A93" s="553"/>
      <c r="B93" s="560"/>
      <c r="C93" s="435" t="s">
        <v>369</v>
      </c>
      <c r="D93" s="435" t="s">
        <v>417</v>
      </c>
      <c r="E93" s="435" t="s">
        <v>291</v>
      </c>
      <c r="F93" s="435" t="s">
        <v>418</v>
      </c>
      <c r="G93" s="544">
        <v>235</v>
      </c>
      <c r="H93" s="544">
        <v>240.5</v>
      </c>
      <c r="I93" s="544">
        <v>238</v>
      </c>
      <c r="J93" s="544">
        <v>232.5</v>
      </c>
      <c r="K93" s="544">
        <v>264</v>
      </c>
      <c r="L93" s="544">
        <v>248</v>
      </c>
      <c r="M93" s="545" t="s">
        <v>225</v>
      </c>
      <c r="N93" s="546">
        <v>241.44</v>
      </c>
      <c r="P93" s="556"/>
    </row>
    <row r="94" spans="1:16" s="555" customFormat="1" ht="20.149999999999999" customHeight="1">
      <c r="A94" s="553"/>
      <c r="B94" s="560"/>
      <c r="C94" s="435" t="s">
        <v>357</v>
      </c>
      <c r="D94" s="435" t="s">
        <v>417</v>
      </c>
      <c r="E94" s="435" t="s">
        <v>291</v>
      </c>
      <c r="F94" s="435" t="s">
        <v>418</v>
      </c>
      <c r="G94" s="544">
        <v>125</v>
      </c>
      <c r="H94" s="544">
        <v>125</v>
      </c>
      <c r="I94" s="544">
        <v>126</v>
      </c>
      <c r="J94" s="544">
        <v>126</v>
      </c>
      <c r="K94" s="544">
        <v>127</v>
      </c>
      <c r="L94" s="544" t="s">
        <v>225</v>
      </c>
      <c r="M94" s="545" t="s">
        <v>225</v>
      </c>
      <c r="N94" s="546">
        <v>125.8</v>
      </c>
      <c r="P94" s="556"/>
    </row>
    <row r="95" spans="1:16" s="555" customFormat="1" ht="20.149999999999999" customHeight="1">
      <c r="A95" s="553"/>
      <c r="B95" s="560"/>
      <c r="C95" s="435" t="s">
        <v>294</v>
      </c>
      <c r="D95" s="435" t="s">
        <v>417</v>
      </c>
      <c r="E95" s="435" t="s">
        <v>291</v>
      </c>
      <c r="F95" s="435" t="s">
        <v>418</v>
      </c>
      <c r="G95" s="544">
        <v>200</v>
      </c>
      <c r="H95" s="544">
        <v>220</v>
      </c>
      <c r="I95" s="544">
        <v>214</v>
      </c>
      <c r="J95" s="544">
        <v>300</v>
      </c>
      <c r="K95" s="544">
        <v>285</v>
      </c>
      <c r="L95" s="544" t="s">
        <v>225</v>
      </c>
      <c r="M95" s="545" t="s">
        <v>225</v>
      </c>
      <c r="N95" s="546">
        <v>255.05</v>
      </c>
      <c r="P95" s="556"/>
    </row>
    <row r="96" spans="1:16" ht="20.149999999999999" customHeight="1">
      <c r="B96" s="531" t="s">
        <v>419</v>
      </c>
      <c r="C96" s="539" t="s">
        <v>311</v>
      </c>
      <c r="D96" s="539" t="s">
        <v>355</v>
      </c>
      <c r="E96" s="404" t="s">
        <v>105</v>
      </c>
      <c r="F96" s="435" t="s">
        <v>105</v>
      </c>
      <c r="G96" s="405">
        <v>99.44</v>
      </c>
      <c r="H96" s="405">
        <v>99.44</v>
      </c>
      <c r="I96" s="405">
        <v>99.44</v>
      </c>
      <c r="J96" s="405">
        <v>99.44</v>
      </c>
      <c r="K96" s="405">
        <v>99.44</v>
      </c>
      <c r="L96" s="405" t="s">
        <v>225</v>
      </c>
      <c r="M96" s="540" t="s">
        <v>225</v>
      </c>
      <c r="N96" s="541">
        <v>99.44</v>
      </c>
      <c r="P96" s="536"/>
    </row>
    <row r="97" spans="1:16" s="547" customFormat="1" ht="20.149999999999999" customHeight="1">
      <c r="A97" s="543"/>
      <c r="B97" s="538"/>
      <c r="C97" s="539" t="s">
        <v>361</v>
      </c>
      <c r="D97" s="539" t="s">
        <v>355</v>
      </c>
      <c r="E97" s="539" t="s">
        <v>105</v>
      </c>
      <c r="F97" s="539" t="s">
        <v>105</v>
      </c>
      <c r="G97" s="405">
        <v>50.21</v>
      </c>
      <c r="H97" s="405">
        <v>50.21</v>
      </c>
      <c r="I97" s="405">
        <v>50.21</v>
      </c>
      <c r="J97" s="405">
        <v>50.21</v>
      </c>
      <c r="K97" s="405">
        <v>50.21</v>
      </c>
      <c r="L97" s="405" t="s">
        <v>225</v>
      </c>
      <c r="M97" s="540" t="s">
        <v>225</v>
      </c>
      <c r="N97" s="541">
        <v>50.21</v>
      </c>
      <c r="P97" s="548"/>
    </row>
    <row r="98" spans="1:16" ht="20.149999999999999" customHeight="1" thickBot="1">
      <c r="B98" s="413"/>
      <c r="C98" s="563" t="s">
        <v>420</v>
      </c>
      <c r="D98" s="563" t="s">
        <v>355</v>
      </c>
      <c r="E98" s="563" t="s">
        <v>105</v>
      </c>
      <c r="F98" s="563" t="s">
        <v>105</v>
      </c>
      <c r="G98" s="416">
        <v>45</v>
      </c>
      <c r="H98" s="416">
        <v>45</v>
      </c>
      <c r="I98" s="416">
        <v>45</v>
      </c>
      <c r="J98" s="416">
        <v>45</v>
      </c>
      <c r="K98" s="416">
        <v>45</v>
      </c>
      <c r="L98" s="416" t="s">
        <v>225</v>
      </c>
      <c r="M98" s="564" t="s">
        <v>225</v>
      </c>
      <c r="N98" s="565">
        <v>45</v>
      </c>
      <c r="P98" s="536"/>
    </row>
    <row r="99" spans="1:16" ht="16.399999999999999" customHeight="1">
      <c r="N99" s="115" t="s">
        <v>68</v>
      </c>
    </row>
    <row r="100" spans="1:16" ht="16.399999999999999" customHeight="1">
      <c r="M100" s="566"/>
      <c r="N100" s="332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8D6-0EC1-4188-8A20-9F3D581C30CE}">
  <sheetPr>
    <pageSetUpPr fitToPage="1"/>
  </sheetPr>
  <dimension ref="A2:I39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567" customWidth="1"/>
    <col min="2" max="2" width="41.54296875" style="529" bestFit="1" customWidth="1"/>
    <col min="3" max="3" width="14.453125" style="529" customWidth="1"/>
    <col min="4" max="4" width="35.54296875" style="529" bestFit="1" customWidth="1"/>
    <col min="5" max="5" width="8.54296875" style="529" customWidth="1"/>
    <col min="6" max="6" width="24.54296875" style="529" customWidth="1"/>
    <col min="7" max="7" width="60.453125" style="529" customWidth="1"/>
    <col min="8" max="8" width="4.453125" style="368" customWidth="1"/>
    <col min="9" max="9" width="10.54296875" style="368" customWidth="1"/>
    <col min="10" max="10" width="14.453125" style="368"/>
    <col min="11" max="12" width="16.54296875" style="368" bestFit="1" customWidth="1"/>
    <col min="13" max="13" width="14.453125" style="368" bestFit="1" customWidth="1"/>
    <col min="14" max="16384" width="14.453125" style="368"/>
  </cols>
  <sheetData>
    <row r="2" spans="1:9">
      <c r="G2" s="371"/>
      <c r="H2" s="372"/>
    </row>
    <row r="3" spans="1:9" ht="8.25" customHeight="1">
      <c r="H3" s="372"/>
    </row>
    <row r="4" spans="1:9" ht="0.75" customHeight="1" thickBot="1">
      <c r="H4" s="372"/>
    </row>
    <row r="5" spans="1:9" ht="26.25" customHeight="1" thickBot="1">
      <c r="B5" s="466" t="s">
        <v>421</v>
      </c>
      <c r="C5" s="467"/>
      <c r="D5" s="467"/>
      <c r="E5" s="467"/>
      <c r="F5" s="467"/>
      <c r="G5" s="468"/>
      <c r="H5" s="374"/>
    </row>
    <row r="6" spans="1:9" ht="15" customHeight="1">
      <c r="B6" s="470"/>
      <c r="C6" s="470"/>
      <c r="D6" s="470"/>
      <c r="E6" s="470"/>
      <c r="F6" s="470"/>
      <c r="G6" s="470"/>
      <c r="H6" s="376"/>
    </row>
    <row r="7" spans="1:9" ht="15" customHeight="1">
      <c r="B7" s="470" t="s">
        <v>342</v>
      </c>
      <c r="C7" s="470"/>
      <c r="D7" s="470"/>
      <c r="E7" s="470"/>
      <c r="F7" s="470"/>
      <c r="G7" s="470"/>
      <c r="H7" s="376"/>
    </row>
    <row r="8" spans="1:9" ht="15" customHeight="1">
      <c r="B8" s="568"/>
      <c r="C8" s="568"/>
      <c r="D8" s="568"/>
      <c r="E8" s="568"/>
      <c r="F8" s="568"/>
      <c r="G8" s="568"/>
      <c r="H8" s="376"/>
    </row>
    <row r="9" spans="1:9" ht="16.5" customHeight="1">
      <c r="B9" s="383" t="s">
        <v>343</v>
      </c>
      <c r="C9" s="383"/>
      <c r="D9" s="383"/>
      <c r="E9" s="383"/>
      <c r="F9" s="383"/>
      <c r="G9" s="383"/>
      <c r="H9" s="376"/>
    </row>
    <row r="10" spans="1:9" ht="12" customHeight="1">
      <c r="B10" s="569"/>
      <c r="C10" s="569"/>
      <c r="D10" s="569"/>
      <c r="E10" s="569"/>
      <c r="F10" s="569"/>
      <c r="G10" s="569"/>
      <c r="H10" s="376"/>
    </row>
    <row r="11" spans="1:9" ht="17.25" customHeight="1">
      <c r="A11" s="473"/>
      <c r="B11" s="474" t="s">
        <v>92</v>
      </c>
      <c r="C11" s="474"/>
      <c r="D11" s="474"/>
      <c r="E11" s="474"/>
      <c r="F11" s="474"/>
      <c r="G11" s="474"/>
      <c r="H11" s="475"/>
    </row>
    <row r="12" spans="1:9" ht="6.75" customHeight="1" thickBot="1">
      <c r="A12" s="473"/>
      <c r="B12" s="569"/>
      <c r="C12" s="569"/>
      <c r="D12" s="569"/>
      <c r="E12" s="569"/>
      <c r="F12" s="569"/>
      <c r="G12" s="569"/>
      <c r="H12" s="475"/>
    </row>
    <row r="13" spans="1:9" ht="16.399999999999999" customHeight="1">
      <c r="A13" s="473"/>
      <c r="B13" s="387" t="s">
        <v>232</v>
      </c>
      <c r="C13" s="388" t="s">
        <v>280</v>
      </c>
      <c r="D13" s="389" t="s">
        <v>281</v>
      </c>
      <c r="E13" s="388" t="s">
        <v>282</v>
      </c>
      <c r="F13" s="389" t="s">
        <v>283</v>
      </c>
      <c r="G13" s="477" t="s">
        <v>344</v>
      </c>
      <c r="H13" s="570"/>
    </row>
    <row r="14" spans="1:9" ht="16.399999999999999" customHeight="1">
      <c r="A14" s="473"/>
      <c r="B14" s="396"/>
      <c r="C14" s="397"/>
      <c r="D14" s="478" t="s">
        <v>286</v>
      </c>
      <c r="E14" s="397"/>
      <c r="F14" s="398"/>
      <c r="G14" s="479" t="s">
        <v>345</v>
      </c>
      <c r="H14" s="571"/>
    </row>
    <row r="15" spans="1:9" ht="30" customHeight="1">
      <c r="A15" s="473"/>
      <c r="B15" s="411" t="s">
        <v>356</v>
      </c>
      <c r="C15" s="404" t="s">
        <v>346</v>
      </c>
      <c r="D15" s="404" t="s">
        <v>358</v>
      </c>
      <c r="E15" s="404" t="s">
        <v>105</v>
      </c>
      <c r="F15" s="404" t="s">
        <v>359</v>
      </c>
      <c r="G15" s="572">
        <v>230.33</v>
      </c>
      <c r="H15" s="573"/>
      <c r="I15" s="574"/>
    </row>
    <row r="16" spans="1:9" ht="30" customHeight="1">
      <c r="A16" s="473"/>
      <c r="B16" s="411"/>
      <c r="C16" s="404" t="s">
        <v>346</v>
      </c>
      <c r="D16" s="404" t="s">
        <v>362</v>
      </c>
      <c r="E16" s="404" t="s">
        <v>105</v>
      </c>
      <c r="F16" s="404" t="s">
        <v>363</v>
      </c>
      <c r="G16" s="572">
        <v>298.47000000000003</v>
      </c>
      <c r="H16" s="573"/>
      <c r="I16" s="574"/>
    </row>
    <row r="17" spans="1:9" s="547" customFormat="1" ht="30" customHeight="1">
      <c r="A17" s="575"/>
      <c r="B17" s="576"/>
      <c r="C17" s="404" t="s">
        <v>346</v>
      </c>
      <c r="D17" s="404" t="s">
        <v>364</v>
      </c>
      <c r="E17" s="404" t="s">
        <v>105</v>
      </c>
      <c r="F17" s="404" t="s">
        <v>359</v>
      </c>
      <c r="G17" s="572">
        <v>232.89</v>
      </c>
      <c r="H17" s="577"/>
      <c r="I17" s="578"/>
    </row>
    <row r="18" spans="1:9" s="410" customFormat="1" ht="30" customHeight="1">
      <c r="A18" s="567"/>
      <c r="B18" s="480" t="s">
        <v>368</v>
      </c>
      <c r="C18" s="404" t="s">
        <v>346</v>
      </c>
      <c r="D18" s="404" t="s">
        <v>355</v>
      </c>
      <c r="E18" s="404" t="s">
        <v>105</v>
      </c>
      <c r="F18" s="435" t="s">
        <v>370</v>
      </c>
      <c r="G18" s="572">
        <v>135.44</v>
      </c>
      <c r="H18" s="409"/>
      <c r="I18" s="579"/>
    </row>
    <row r="19" spans="1:9" s="410" customFormat="1" ht="30" customHeight="1">
      <c r="A19" s="567"/>
      <c r="B19" s="480" t="s">
        <v>372</v>
      </c>
      <c r="C19" s="404" t="s">
        <v>346</v>
      </c>
      <c r="D19" s="404" t="s">
        <v>347</v>
      </c>
      <c r="E19" s="404" t="s">
        <v>105</v>
      </c>
      <c r="F19" s="435" t="s">
        <v>422</v>
      </c>
      <c r="G19" s="572">
        <v>88.03</v>
      </c>
      <c r="H19" s="409"/>
      <c r="I19" s="579"/>
    </row>
    <row r="20" spans="1:9" s="410" customFormat="1" ht="30" customHeight="1">
      <c r="A20" s="567"/>
      <c r="B20" s="480" t="s">
        <v>374</v>
      </c>
      <c r="C20" s="404" t="s">
        <v>346</v>
      </c>
      <c r="D20" s="404" t="s">
        <v>355</v>
      </c>
      <c r="E20" s="404" t="s">
        <v>105</v>
      </c>
      <c r="F20" s="435" t="s">
        <v>376</v>
      </c>
      <c r="G20" s="572">
        <v>42.1</v>
      </c>
      <c r="H20" s="409"/>
      <c r="I20" s="579"/>
    </row>
    <row r="21" spans="1:9" s="410" customFormat="1" ht="30" customHeight="1">
      <c r="A21" s="567"/>
      <c r="B21" s="580" t="s">
        <v>377</v>
      </c>
      <c r="C21" s="404" t="s">
        <v>346</v>
      </c>
      <c r="D21" s="404" t="s">
        <v>378</v>
      </c>
      <c r="E21" s="404" t="s">
        <v>105</v>
      </c>
      <c r="F21" s="435" t="s">
        <v>423</v>
      </c>
      <c r="G21" s="581">
        <v>230.46</v>
      </c>
      <c r="H21" s="409"/>
      <c r="I21" s="579"/>
    </row>
    <row r="22" spans="1:9" s="410" customFormat="1" ht="30" customHeight="1">
      <c r="A22" s="567"/>
      <c r="B22" s="480" t="s">
        <v>380</v>
      </c>
      <c r="C22" s="404" t="s">
        <v>346</v>
      </c>
      <c r="D22" s="404" t="s">
        <v>355</v>
      </c>
      <c r="E22" s="404" t="s">
        <v>105</v>
      </c>
      <c r="F22" s="435" t="s">
        <v>382</v>
      </c>
      <c r="G22" s="581">
        <v>134.75</v>
      </c>
      <c r="H22" s="409"/>
      <c r="I22" s="579"/>
    </row>
    <row r="23" spans="1:9" s="410" customFormat="1" ht="30" customHeight="1">
      <c r="A23" s="567"/>
      <c r="B23" s="480" t="s">
        <v>384</v>
      </c>
      <c r="C23" s="404" t="s">
        <v>346</v>
      </c>
      <c r="D23" s="404" t="s">
        <v>355</v>
      </c>
      <c r="E23" s="404" t="s">
        <v>105</v>
      </c>
      <c r="F23" s="435" t="s">
        <v>105</v>
      </c>
      <c r="G23" s="581">
        <v>169.13</v>
      </c>
      <c r="H23" s="409"/>
      <c r="I23" s="579"/>
    </row>
    <row r="24" spans="1:9" s="584" customFormat="1" ht="30" customHeight="1">
      <c r="A24" s="582"/>
      <c r="B24" s="583" t="s">
        <v>393</v>
      </c>
      <c r="C24" s="435" t="s">
        <v>346</v>
      </c>
      <c r="D24" s="435" t="s">
        <v>355</v>
      </c>
      <c r="E24" s="435" t="s">
        <v>105</v>
      </c>
      <c r="F24" s="435" t="s">
        <v>105</v>
      </c>
      <c r="G24" s="581">
        <v>551.97</v>
      </c>
      <c r="H24" s="439"/>
      <c r="I24" s="579"/>
    </row>
    <row r="25" spans="1:9" s="584" customFormat="1" ht="30" customHeight="1">
      <c r="A25" s="582"/>
      <c r="B25" s="583" t="s">
        <v>395</v>
      </c>
      <c r="C25" s="435" t="s">
        <v>346</v>
      </c>
      <c r="D25" s="435" t="s">
        <v>355</v>
      </c>
      <c r="E25" s="435" t="s">
        <v>291</v>
      </c>
      <c r="F25" s="435" t="s">
        <v>424</v>
      </c>
      <c r="G25" s="581">
        <v>109.64</v>
      </c>
      <c r="H25" s="439"/>
      <c r="I25" s="579"/>
    </row>
    <row r="26" spans="1:9" s="584" customFormat="1" ht="30" customHeight="1">
      <c r="A26" s="582"/>
      <c r="B26" s="583" t="s">
        <v>400</v>
      </c>
      <c r="C26" s="435" t="s">
        <v>346</v>
      </c>
      <c r="D26" s="435" t="s">
        <v>347</v>
      </c>
      <c r="E26" s="435" t="s">
        <v>105</v>
      </c>
      <c r="F26" s="435" t="s">
        <v>402</v>
      </c>
      <c r="G26" s="581">
        <v>69.22</v>
      </c>
      <c r="H26" s="439"/>
      <c r="I26" s="579"/>
    </row>
    <row r="27" spans="1:9" s="584" customFormat="1" ht="30" customHeight="1">
      <c r="A27" s="582"/>
      <c r="B27" s="583" t="s">
        <v>403</v>
      </c>
      <c r="C27" s="435" t="s">
        <v>346</v>
      </c>
      <c r="D27" s="435" t="s">
        <v>425</v>
      </c>
      <c r="E27" s="435" t="s">
        <v>105</v>
      </c>
      <c r="F27" s="435" t="s">
        <v>405</v>
      </c>
      <c r="G27" s="581">
        <v>84.63</v>
      </c>
      <c r="H27" s="439"/>
      <c r="I27" s="579"/>
    </row>
    <row r="28" spans="1:9" s="584" customFormat="1" ht="30" customHeight="1">
      <c r="A28" s="582"/>
      <c r="B28" s="583" t="s">
        <v>407</v>
      </c>
      <c r="C28" s="435" t="s">
        <v>346</v>
      </c>
      <c r="D28" s="435" t="s">
        <v>355</v>
      </c>
      <c r="E28" s="435" t="s">
        <v>291</v>
      </c>
      <c r="F28" s="435" t="s">
        <v>412</v>
      </c>
      <c r="G28" s="581">
        <v>171.63</v>
      </c>
      <c r="H28" s="439"/>
      <c r="I28" s="579"/>
    </row>
    <row r="29" spans="1:9" s="558" customFormat="1" ht="30" customHeight="1">
      <c r="A29" s="585"/>
      <c r="B29" s="552" t="s">
        <v>413</v>
      </c>
      <c r="C29" s="435" t="s">
        <v>346</v>
      </c>
      <c r="D29" s="435" t="s">
        <v>355</v>
      </c>
      <c r="E29" s="435" t="s">
        <v>105</v>
      </c>
      <c r="F29" s="435" t="s">
        <v>105</v>
      </c>
      <c r="G29" s="581">
        <v>93.53</v>
      </c>
      <c r="I29" s="574"/>
    </row>
    <row r="30" spans="1:9" s="558" customFormat="1" ht="30" customHeight="1">
      <c r="A30" s="585"/>
      <c r="B30" s="552" t="s">
        <v>414</v>
      </c>
      <c r="C30" s="435" t="s">
        <v>346</v>
      </c>
      <c r="D30" s="435" t="s">
        <v>415</v>
      </c>
      <c r="E30" s="435" t="s">
        <v>291</v>
      </c>
      <c r="F30" s="435" t="s">
        <v>105</v>
      </c>
      <c r="G30" s="586">
        <v>366</v>
      </c>
      <c r="I30" s="574"/>
    </row>
    <row r="31" spans="1:9" s="558" customFormat="1" ht="30" customHeight="1">
      <c r="A31" s="585"/>
      <c r="B31" s="560"/>
      <c r="C31" s="435" t="s">
        <v>346</v>
      </c>
      <c r="D31" s="435" t="s">
        <v>416</v>
      </c>
      <c r="E31" s="435" t="s">
        <v>291</v>
      </c>
      <c r="F31" s="435" t="s">
        <v>105</v>
      </c>
      <c r="G31" s="581">
        <v>274.02</v>
      </c>
      <c r="H31" s="587"/>
      <c r="I31" s="574"/>
    </row>
    <row r="32" spans="1:9" s="558" customFormat="1" ht="30" customHeight="1">
      <c r="A32" s="582"/>
      <c r="B32" s="588"/>
      <c r="C32" s="435" t="s">
        <v>346</v>
      </c>
      <c r="D32" s="435" t="s">
        <v>417</v>
      </c>
      <c r="E32" s="435" t="s">
        <v>291</v>
      </c>
      <c r="F32" s="435" t="s">
        <v>418</v>
      </c>
      <c r="G32" s="581">
        <v>241.63</v>
      </c>
      <c r="H32" s="587"/>
      <c r="I32" s="578"/>
    </row>
    <row r="33" spans="1:9" s="410" customFormat="1" ht="30" customHeight="1" thickBot="1">
      <c r="A33" s="567"/>
      <c r="B33" s="589" t="s">
        <v>419</v>
      </c>
      <c r="C33" s="415" t="s">
        <v>346</v>
      </c>
      <c r="D33" s="415" t="s">
        <v>355</v>
      </c>
      <c r="E33" s="415" t="s">
        <v>105</v>
      </c>
      <c r="F33" s="415" t="s">
        <v>105</v>
      </c>
      <c r="G33" s="590">
        <v>72.819999999999993</v>
      </c>
      <c r="H33" s="409"/>
      <c r="I33" s="579"/>
    </row>
    <row r="34" spans="1:9" ht="12.75" customHeight="1">
      <c r="A34" s="368"/>
      <c r="G34" s="173" t="s">
        <v>68</v>
      </c>
    </row>
    <row r="35" spans="1:9" ht="14.25" customHeight="1">
      <c r="A35" s="368"/>
      <c r="G35" s="332"/>
    </row>
    <row r="38" spans="1:9" ht="21" customHeight="1">
      <c r="A38" s="368"/>
    </row>
    <row r="39" spans="1:9" ht="18" customHeight="1">
      <c r="A39" s="368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7F9F-47A5-42E0-95E1-9AF3DC274CFB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453125" defaultRowHeight="12.5"/>
  <cols>
    <col min="1" max="1" width="2.7265625" style="591" customWidth="1"/>
    <col min="2" max="2" width="25" style="591" customWidth="1"/>
    <col min="3" max="3" width="11.54296875" style="591" customWidth="1"/>
    <col min="4" max="4" width="11.453125" style="591"/>
    <col min="5" max="5" width="19" style="591" customWidth="1"/>
    <col min="6" max="7" width="16.54296875" style="591" customWidth="1"/>
    <col min="8" max="8" width="15.81640625" style="591" customWidth="1"/>
    <col min="9" max="9" width="2.7265625" style="591" customWidth="1"/>
    <col min="10" max="16384" width="11.453125" style="591"/>
  </cols>
  <sheetData>
    <row r="3" spans="2:10" ht="17.5">
      <c r="B3" s="373" t="s">
        <v>426</v>
      </c>
      <c r="C3" s="373"/>
      <c r="D3" s="373"/>
      <c r="E3" s="373"/>
      <c r="F3" s="373"/>
      <c r="G3" s="373"/>
      <c r="H3" s="373"/>
    </row>
    <row r="4" spans="2:10" ht="15">
      <c r="B4" s="592" t="s">
        <v>427</v>
      </c>
      <c r="C4" s="592"/>
      <c r="D4" s="592"/>
      <c r="E4" s="592"/>
      <c r="F4" s="592"/>
      <c r="G4" s="592"/>
      <c r="H4" s="592"/>
    </row>
    <row r="5" spans="2:10" ht="15.5" thickBot="1">
      <c r="B5" s="593"/>
      <c r="C5" s="593"/>
      <c r="D5" s="593"/>
      <c r="E5" s="593"/>
      <c r="F5" s="593"/>
      <c r="G5" s="593"/>
      <c r="H5" s="593"/>
    </row>
    <row r="6" spans="2:10" ht="14" thickBot="1">
      <c r="B6" s="466" t="s">
        <v>428</v>
      </c>
      <c r="C6" s="467"/>
      <c r="D6" s="467"/>
      <c r="E6" s="467"/>
      <c r="F6" s="467"/>
      <c r="G6" s="467"/>
      <c r="H6" s="468"/>
    </row>
    <row r="7" spans="2:10" ht="9" customHeight="1">
      <c r="B7" s="594"/>
      <c r="C7" s="594"/>
      <c r="D7" s="594"/>
      <c r="E7" s="594"/>
      <c r="F7" s="594"/>
      <c r="G7" s="594"/>
      <c r="H7" s="594"/>
    </row>
    <row r="8" spans="2:10">
      <c r="B8" s="595" t="s">
        <v>429</v>
      </c>
      <c r="C8" s="595"/>
      <c r="D8" s="595"/>
      <c r="E8" s="595"/>
      <c r="F8" s="595"/>
      <c r="G8" s="595"/>
      <c r="H8" s="595"/>
    </row>
    <row r="9" spans="2:10">
      <c r="B9" s="264" t="s">
        <v>430</v>
      </c>
      <c r="C9" s="264" t="s">
        <v>431</v>
      </c>
      <c r="D9" s="264"/>
      <c r="E9" s="264"/>
      <c r="F9" s="264"/>
      <c r="G9" s="264"/>
      <c r="H9" s="264"/>
    </row>
    <row r="10" spans="2:10" ht="13" thickBot="1">
      <c r="B10" s="596"/>
      <c r="C10" s="596"/>
      <c r="D10" s="596"/>
      <c r="E10" s="596"/>
      <c r="F10" s="596"/>
      <c r="G10" s="596"/>
      <c r="H10" s="596"/>
    </row>
    <row r="11" spans="2:10" ht="12.75" customHeight="1">
      <c r="B11" s="597"/>
      <c r="C11" s="598" t="s">
        <v>432</v>
      </c>
      <c r="D11" s="599"/>
      <c r="E11" s="600"/>
      <c r="F11" s="601" t="s">
        <v>433</v>
      </c>
      <c r="G11" s="601" t="s">
        <v>434</v>
      </c>
      <c r="H11" s="602"/>
    </row>
    <row r="12" spans="2:10">
      <c r="B12" s="603" t="s">
        <v>435</v>
      </c>
      <c r="C12" s="604" t="s">
        <v>436</v>
      </c>
      <c r="D12" s="605"/>
      <c r="E12" s="606"/>
      <c r="F12" s="607"/>
      <c r="G12" s="607"/>
      <c r="H12" s="608" t="s">
        <v>437</v>
      </c>
    </row>
    <row r="13" spans="2:10" ht="13" thickBot="1">
      <c r="B13" s="609"/>
      <c r="C13" s="610" t="s">
        <v>438</v>
      </c>
      <c r="D13" s="611"/>
      <c r="E13" s="612"/>
      <c r="F13" s="613"/>
      <c r="G13" s="613"/>
      <c r="H13" s="614"/>
    </row>
    <row r="14" spans="2:10" ht="16" customHeight="1">
      <c r="B14" s="615" t="s">
        <v>439</v>
      </c>
      <c r="C14" s="616" t="s">
        <v>440</v>
      </c>
      <c r="D14" s="617"/>
      <c r="E14" s="618"/>
      <c r="F14" s="619">
        <v>764.29</v>
      </c>
      <c r="G14" s="619">
        <v>770.39</v>
      </c>
      <c r="H14" s="620">
        <v>6.1000000000000227</v>
      </c>
      <c r="J14" s="621"/>
    </row>
    <row r="15" spans="2:10" ht="16" customHeight="1">
      <c r="B15" s="615"/>
      <c r="C15" s="622" t="s">
        <v>441</v>
      </c>
      <c r="D15" s="259"/>
      <c r="E15" s="623"/>
      <c r="F15" s="624">
        <v>779.36</v>
      </c>
      <c r="G15" s="624">
        <v>772.67</v>
      </c>
      <c r="H15" s="625">
        <v>-6.6900000000000546</v>
      </c>
      <c r="J15" s="621"/>
    </row>
    <row r="16" spans="2:10" ht="16" customHeight="1">
      <c r="B16" s="615"/>
      <c r="C16" s="626" t="s">
        <v>442</v>
      </c>
      <c r="D16" s="627"/>
      <c r="E16" s="628"/>
      <c r="F16" s="624">
        <v>733.7</v>
      </c>
      <c r="G16" s="624">
        <v>765.77</v>
      </c>
      <c r="H16" s="625">
        <v>32.069999999999936</v>
      </c>
      <c r="J16" s="621"/>
    </row>
    <row r="17" spans="2:10" ht="16" customHeight="1">
      <c r="B17" s="615"/>
      <c r="C17" s="629" t="s">
        <v>443</v>
      </c>
      <c r="D17" s="627"/>
      <c r="E17" s="628"/>
      <c r="F17" s="630">
        <v>746.59</v>
      </c>
      <c r="G17" s="630">
        <v>750.06</v>
      </c>
      <c r="H17" s="631">
        <v>3.4699999999999136</v>
      </c>
      <c r="J17" s="621"/>
    </row>
    <row r="18" spans="2:10" ht="16" customHeight="1">
      <c r="B18" s="615"/>
      <c r="C18" s="622" t="s">
        <v>444</v>
      </c>
      <c r="D18" s="259"/>
      <c r="E18" s="623"/>
      <c r="F18" s="624">
        <v>759.23</v>
      </c>
      <c r="G18" s="624">
        <v>755.79</v>
      </c>
      <c r="H18" s="625">
        <v>-3.4400000000000546</v>
      </c>
      <c r="J18" s="621"/>
    </row>
    <row r="19" spans="2:10" ht="16" customHeight="1">
      <c r="B19" s="615"/>
      <c r="C19" s="626" t="s">
        <v>445</v>
      </c>
      <c r="D19" s="627"/>
      <c r="E19" s="628"/>
      <c r="F19" s="624">
        <v>729.14</v>
      </c>
      <c r="G19" s="624">
        <v>742.14</v>
      </c>
      <c r="H19" s="625">
        <v>13</v>
      </c>
      <c r="J19" s="621"/>
    </row>
    <row r="20" spans="2:10" ht="16" customHeight="1">
      <c r="B20" s="615"/>
      <c r="C20" s="629" t="s">
        <v>446</v>
      </c>
      <c r="D20" s="627"/>
      <c r="E20" s="628"/>
      <c r="F20" s="632">
        <v>712.11</v>
      </c>
      <c r="G20" s="632">
        <v>704.14</v>
      </c>
      <c r="H20" s="633">
        <v>-7.9700000000000273</v>
      </c>
      <c r="J20" s="621"/>
    </row>
    <row r="21" spans="2:10" ht="16" customHeight="1">
      <c r="B21" s="634"/>
      <c r="C21" s="622" t="s">
        <v>447</v>
      </c>
      <c r="D21" s="259"/>
      <c r="E21" s="623"/>
      <c r="F21" s="624">
        <v>720.59</v>
      </c>
      <c r="G21" s="624">
        <v>712.46</v>
      </c>
      <c r="H21" s="625">
        <v>-8.1299999999999955</v>
      </c>
      <c r="J21" s="621"/>
    </row>
    <row r="22" spans="2:10" ht="16" customHeight="1" thickBot="1">
      <c r="B22" s="634"/>
      <c r="C22" s="626" t="s">
        <v>448</v>
      </c>
      <c r="D22" s="627"/>
      <c r="E22" s="628"/>
      <c r="F22" s="624">
        <v>700.87</v>
      </c>
      <c r="G22" s="624">
        <v>693.12</v>
      </c>
      <c r="H22" s="625">
        <v>-7.75</v>
      </c>
      <c r="J22" s="621"/>
    </row>
    <row r="23" spans="2:10" ht="16" customHeight="1">
      <c r="B23" s="635" t="s">
        <v>449</v>
      </c>
      <c r="C23" s="616" t="s">
        <v>450</v>
      </c>
      <c r="D23" s="617"/>
      <c r="E23" s="618"/>
      <c r="F23" s="636">
        <v>520.95000000000005</v>
      </c>
      <c r="G23" s="636">
        <v>528.5</v>
      </c>
      <c r="H23" s="637">
        <v>7.5499999999999545</v>
      </c>
      <c r="J23" s="621"/>
    </row>
    <row r="24" spans="2:10" ht="16" customHeight="1">
      <c r="B24" s="615"/>
      <c r="C24" s="622" t="s">
        <v>451</v>
      </c>
      <c r="D24" s="259"/>
      <c r="E24" s="623"/>
      <c r="F24" s="624">
        <v>517.87</v>
      </c>
      <c r="G24" s="624">
        <v>526.99</v>
      </c>
      <c r="H24" s="625">
        <v>9.1200000000000045</v>
      </c>
      <c r="J24" s="621"/>
    </row>
    <row r="25" spans="2:10" ht="16" customHeight="1">
      <c r="B25" s="615"/>
      <c r="C25" s="626" t="s">
        <v>452</v>
      </c>
      <c r="D25" s="627"/>
      <c r="E25" s="628"/>
      <c r="F25" s="624">
        <v>538.66999999999996</v>
      </c>
      <c r="G25" s="624">
        <v>537.04</v>
      </c>
      <c r="H25" s="625">
        <v>-1.6299999999999955</v>
      </c>
      <c r="J25" s="621"/>
    </row>
    <row r="26" spans="2:10" ht="16" customHeight="1">
      <c r="B26" s="615"/>
      <c r="C26" s="629" t="s">
        <v>443</v>
      </c>
      <c r="D26" s="627"/>
      <c r="E26" s="628"/>
      <c r="F26" s="632">
        <v>622.95000000000005</v>
      </c>
      <c r="G26" s="632">
        <v>630.26</v>
      </c>
      <c r="H26" s="633">
        <v>7.3099999999999454</v>
      </c>
      <c r="J26" s="621"/>
    </row>
    <row r="27" spans="2:10" ht="16" customHeight="1">
      <c r="B27" s="615"/>
      <c r="C27" s="622" t="s">
        <v>445</v>
      </c>
      <c r="D27" s="259"/>
      <c r="E27" s="623"/>
      <c r="F27" s="624">
        <v>582.25</v>
      </c>
      <c r="G27" s="624">
        <v>590.82000000000005</v>
      </c>
      <c r="H27" s="625">
        <v>8.57000000000005</v>
      </c>
      <c r="J27" s="621"/>
    </row>
    <row r="28" spans="2:10" ht="16" customHeight="1">
      <c r="B28" s="615"/>
      <c r="C28" s="626" t="s">
        <v>453</v>
      </c>
      <c r="D28" s="627"/>
      <c r="E28" s="628"/>
      <c r="F28" s="624">
        <v>751.84</v>
      </c>
      <c r="G28" s="624">
        <v>755.14</v>
      </c>
      <c r="H28" s="625">
        <v>3.2999999999999545</v>
      </c>
      <c r="J28" s="621"/>
    </row>
    <row r="29" spans="2:10" ht="16" customHeight="1">
      <c r="B29" s="615"/>
      <c r="C29" s="629" t="s">
        <v>446</v>
      </c>
      <c r="D29" s="627"/>
      <c r="E29" s="628"/>
      <c r="F29" s="632">
        <v>593.77</v>
      </c>
      <c r="G29" s="632">
        <v>598.30999999999995</v>
      </c>
      <c r="H29" s="633">
        <v>4.5399999999999636</v>
      </c>
      <c r="J29" s="621"/>
    </row>
    <row r="30" spans="2:10" ht="16" customHeight="1">
      <c r="B30" s="634"/>
      <c r="C30" s="638" t="s">
        <v>447</v>
      </c>
      <c r="D30" s="639"/>
      <c r="E30" s="623"/>
      <c r="F30" s="624">
        <v>547.23</v>
      </c>
      <c r="G30" s="624">
        <v>554.34</v>
      </c>
      <c r="H30" s="625">
        <v>7.1100000000000136</v>
      </c>
      <c r="J30" s="621"/>
    </row>
    <row r="31" spans="2:10" ht="16" customHeight="1">
      <c r="B31" s="634"/>
      <c r="C31" s="638" t="s">
        <v>454</v>
      </c>
      <c r="D31" s="639"/>
      <c r="E31" s="623"/>
      <c r="F31" s="624">
        <v>595.58000000000004</v>
      </c>
      <c r="G31" s="624">
        <v>597.70000000000005</v>
      </c>
      <c r="H31" s="625">
        <v>2.1200000000000045</v>
      </c>
      <c r="J31" s="621"/>
    </row>
    <row r="32" spans="2:10" ht="16" customHeight="1" thickBot="1">
      <c r="B32" s="634"/>
      <c r="C32" s="640" t="s">
        <v>455</v>
      </c>
      <c r="D32" s="641"/>
      <c r="E32" s="628"/>
      <c r="F32" s="624">
        <v>693.07</v>
      </c>
      <c r="G32" s="624">
        <v>699.08</v>
      </c>
      <c r="H32" s="625">
        <v>6.0099999999999909</v>
      </c>
      <c r="J32" s="621"/>
    </row>
    <row r="33" spans="2:10" ht="16" customHeight="1">
      <c r="B33" s="635" t="s">
        <v>456</v>
      </c>
      <c r="C33" s="616" t="s">
        <v>440</v>
      </c>
      <c r="D33" s="617"/>
      <c r="E33" s="618"/>
      <c r="F33" s="636">
        <v>777.96</v>
      </c>
      <c r="G33" s="636">
        <v>775.18</v>
      </c>
      <c r="H33" s="637">
        <v>-2.7800000000000864</v>
      </c>
      <c r="J33" s="621"/>
    </row>
    <row r="34" spans="2:10" ht="16" customHeight="1">
      <c r="B34" s="615"/>
      <c r="C34" s="622" t="s">
        <v>441</v>
      </c>
      <c r="D34" s="259"/>
      <c r="E34" s="623"/>
      <c r="F34" s="624">
        <v>785.26</v>
      </c>
      <c r="G34" s="624">
        <v>782.64</v>
      </c>
      <c r="H34" s="625">
        <v>-2.6200000000000045</v>
      </c>
      <c r="J34" s="621"/>
    </row>
    <row r="35" spans="2:10" ht="16" customHeight="1">
      <c r="B35" s="615"/>
      <c r="C35" s="626" t="s">
        <v>442</v>
      </c>
      <c r="D35" s="627"/>
      <c r="E35" s="628"/>
      <c r="F35" s="624">
        <v>774.98</v>
      </c>
      <c r="G35" s="624">
        <v>772.13</v>
      </c>
      <c r="H35" s="625">
        <v>-2.8500000000000227</v>
      </c>
      <c r="J35" s="621"/>
    </row>
    <row r="36" spans="2:10" ht="16" customHeight="1">
      <c r="B36" s="615"/>
      <c r="C36" s="629" t="s">
        <v>443</v>
      </c>
      <c r="D36" s="627"/>
      <c r="E36" s="628"/>
      <c r="F36" s="632">
        <v>761.84</v>
      </c>
      <c r="G36" s="632">
        <v>762.42</v>
      </c>
      <c r="H36" s="633">
        <v>0.57999999999992724</v>
      </c>
      <c r="J36" s="621"/>
    </row>
    <row r="37" spans="2:10" ht="16" customHeight="1">
      <c r="B37" s="615"/>
      <c r="C37" s="622" t="s">
        <v>444</v>
      </c>
      <c r="D37" s="259"/>
      <c r="E37" s="623"/>
      <c r="F37" s="624">
        <v>769.46</v>
      </c>
      <c r="G37" s="624">
        <v>771.57</v>
      </c>
      <c r="H37" s="625">
        <v>2.1100000000000136</v>
      </c>
      <c r="J37" s="621"/>
    </row>
    <row r="38" spans="2:10" ht="16" customHeight="1">
      <c r="B38" s="615"/>
      <c r="C38" s="638" t="s">
        <v>445</v>
      </c>
      <c r="D38" s="639"/>
      <c r="E38" s="623"/>
      <c r="F38" s="624">
        <v>764</v>
      </c>
      <c r="G38" s="624">
        <v>765.42</v>
      </c>
      <c r="H38" s="625">
        <v>1.4199999999999591</v>
      </c>
      <c r="J38" s="621"/>
    </row>
    <row r="39" spans="2:10" ht="16" customHeight="1">
      <c r="B39" s="615"/>
      <c r="C39" s="640" t="s">
        <v>453</v>
      </c>
      <c r="D39" s="641"/>
      <c r="E39" s="628"/>
      <c r="F39" s="624">
        <v>742.66</v>
      </c>
      <c r="G39" s="624">
        <v>737.64</v>
      </c>
      <c r="H39" s="625">
        <v>-5.0199999999999818</v>
      </c>
      <c r="J39" s="621"/>
    </row>
    <row r="40" spans="2:10" ht="16" customHeight="1">
      <c r="B40" s="634"/>
      <c r="C40" s="629" t="s">
        <v>446</v>
      </c>
      <c r="D40" s="627"/>
      <c r="E40" s="628"/>
      <c r="F40" s="632">
        <v>644.53</v>
      </c>
      <c r="G40" s="632">
        <v>663.02</v>
      </c>
      <c r="H40" s="633">
        <v>18.490000000000009</v>
      </c>
      <c r="J40" s="621"/>
    </row>
    <row r="41" spans="2:10" ht="16" customHeight="1">
      <c r="B41" s="634"/>
      <c r="C41" s="638" t="s">
        <v>447</v>
      </c>
      <c r="D41" s="642"/>
      <c r="E41" s="643"/>
      <c r="F41" s="624">
        <v>609.74</v>
      </c>
      <c r="G41" s="624">
        <v>632.58000000000004</v>
      </c>
      <c r="H41" s="625">
        <v>22.840000000000032</v>
      </c>
      <c r="J41" s="621"/>
    </row>
    <row r="42" spans="2:10" ht="16" customHeight="1">
      <c r="B42" s="634"/>
      <c r="C42" s="638" t="s">
        <v>454</v>
      </c>
      <c r="D42" s="639"/>
      <c r="E42" s="623"/>
      <c r="F42" s="624">
        <v>652.07000000000005</v>
      </c>
      <c r="G42" s="624">
        <v>666.01</v>
      </c>
      <c r="H42" s="625">
        <v>13.939999999999941</v>
      </c>
      <c r="J42" s="621"/>
    </row>
    <row r="43" spans="2:10" ht="16" customHeight="1" thickBot="1">
      <c r="B43" s="634"/>
      <c r="C43" s="638" t="s">
        <v>457</v>
      </c>
      <c r="D43" s="639"/>
      <c r="E43" s="623"/>
      <c r="F43" s="624">
        <v>669.56</v>
      </c>
      <c r="G43" s="624">
        <v>699.59</v>
      </c>
      <c r="H43" s="625">
        <v>30.030000000000086</v>
      </c>
      <c r="J43" s="621"/>
    </row>
    <row r="44" spans="2:10" ht="16" customHeight="1">
      <c r="B44" s="635" t="s">
        <v>458</v>
      </c>
      <c r="C44" s="616" t="s">
        <v>440</v>
      </c>
      <c r="D44" s="617"/>
      <c r="E44" s="618"/>
      <c r="F44" s="619">
        <v>777.89</v>
      </c>
      <c r="G44" s="619">
        <v>775.05</v>
      </c>
      <c r="H44" s="620">
        <v>-2.8400000000000318</v>
      </c>
      <c r="J44" s="621"/>
    </row>
    <row r="45" spans="2:10" ht="16" customHeight="1">
      <c r="B45" s="615"/>
      <c r="C45" s="622" t="s">
        <v>441</v>
      </c>
      <c r="D45" s="259"/>
      <c r="E45" s="623"/>
      <c r="F45" s="624">
        <v>783.79</v>
      </c>
      <c r="G45" s="624">
        <v>782.4</v>
      </c>
      <c r="H45" s="625">
        <v>-1.3899999999999864</v>
      </c>
      <c r="J45" s="621"/>
    </row>
    <row r="46" spans="2:10" ht="16" customHeight="1">
      <c r="B46" s="615"/>
      <c r="C46" s="626" t="s">
        <v>442</v>
      </c>
      <c r="D46" s="627"/>
      <c r="E46" s="628"/>
      <c r="F46" s="624">
        <v>773.44</v>
      </c>
      <c r="G46" s="624">
        <v>769.5</v>
      </c>
      <c r="H46" s="625">
        <v>-3.9400000000000546</v>
      </c>
      <c r="J46" s="621"/>
    </row>
    <row r="47" spans="2:10" ht="16" customHeight="1">
      <c r="B47" s="615"/>
      <c r="C47" s="629" t="s">
        <v>443</v>
      </c>
      <c r="D47" s="627"/>
      <c r="E47" s="628"/>
      <c r="F47" s="632">
        <v>743.93</v>
      </c>
      <c r="G47" s="632">
        <v>738.02</v>
      </c>
      <c r="H47" s="633">
        <v>-5.9099999999999682</v>
      </c>
      <c r="J47" s="621"/>
    </row>
    <row r="48" spans="2:10" ht="16" customHeight="1">
      <c r="B48" s="615"/>
      <c r="C48" s="622" t="s">
        <v>444</v>
      </c>
      <c r="D48" s="259"/>
      <c r="E48" s="623"/>
      <c r="F48" s="624">
        <v>750.55</v>
      </c>
      <c r="G48" s="624">
        <v>745.48</v>
      </c>
      <c r="H48" s="625">
        <v>-5.0699999999999363</v>
      </c>
      <c r="J48" s="621"/>
    </row>
    <row r="49" spans="2:10" ht="16" customHeight="1">
      <c r="B49" s="615"/>
      <c r="C49" s="626" t="s">
        <v>445</v>
      </c>
      <c r="D49" s="627"/>
      <c r="E49" s="628"/>
      <c r="F49" s="624">
        <v>741.72</v>
      </c>
      <c r="G49" s="624">
        <v>735.53</v>
      </c>
      <c r="H49" s="625">
        <v>-6.1900000000000546</v>
      </c>
      <c r="J49" s="621"/>
    </row>
    <row r="50" spans="2:10" ht="16" customHeight="1">
      <c r="B50" s="615"/>
      <c r="C50" s="629" t="s">
        <v>446</v>
      </c>
      <c r="D50" s="627"/>
      <c r="E50" s="628"/>
      <c r="F50" s="632">
        <v>697.6</v>
      </c>
      <c r="G50" s="632">
        <v>690.89</v>
      </c>
      <c r="H50" s="633">
        <v>-6.7100000000000364</v>
      </c>
      <c r="J50" s="621"/>
    </row>
    <row r="51" spans="2:10" ht="16" customHeight="1">
      <c r="B51" s="634"/>
      <c r="C51" s="622" t="s">
        <v>447</v>
      </c>
      <c r="D51" s="259"/>
      <c r="E51" s="623"/>
      <c r="F51" s="624">
        <v>707.21</v>
      </c>
      <c r="G51" s="624">
        <v>699.26</v>
      </c>
      <c r="H51" s="625">
        <v>-7.9500000000000455</v>
      </c>
      <c r="J51" s="621"/>
    </row>
    <row r="52" spans="2:10" ht="16" customHeight="1" thickBot="1">
      <c r="B52" s="644"/>
      <c r="C52" s="645" t="s">
        <v>448</v>
      </c>
      <c r="D52" s="646"/>
      <c r="E52" s="647"/>
      <c r="F52" s="648">
        <v>679.75</v>
      </c>
      <c r="G52" s="648">
        <v>675.35</v>
      </c>
      <c r="H52" s="649">
        <v>-4.3999999999999773</v>
      </c>
      <c r="J52" s="621"/>
    </row>
    <row r="53" spans="2:10" ht="13">
      <c r="B53" s="650"/>
      <c r="H53" s="173" t="s">
        <v>68</v>
      </c>
    </row>
    <row r="54" spans="2:10">
      <c r="F54" s="173"/>
      <c r="G54" s="173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26EF-DB73-4F16-A57A-584CEE363228}">
  <sheetPr>
    <pageSetUpPr fitToPage="1"/>
  </sheetPr>
  <dimension ref="A1:J40"/>
  <sheetViews>
    <sheetView showGridLines="0" zoomScale="115" zoomScaleNormal="115" zoomScaleSheetLayoutView="90" workbookViewId="0"/>
  </sheetViews>
  <sheetFormatPr baseColWidth="10" defaultColWidth="9.1796875" defaultRowHeight="11.5"/>
  <cols>
    <col min="1" max="1" width="1" style="259" customWidth="1"/>
    <col min="2" max="2" width="48.54296875" style="259" customWidth="1"/>
    <col min="3" max="5" width="17.7265625" style="259" customWidth="1"/>
    <col min="6" max="6" width="4.1796875" style="259" customWidth="1"/>
    <col min="7" max="16384" width="9.1796875" style="259"/>
  </cols>
  <sheetData>
    <row r="1" spans="1:10">
      <c r="A1" s="259" t="s">
        <v>284</v>
      </c>
    </row>
    <row r="2" spans="1:10" ht="10.15" customHeight="1" thickBot="1">
      <c r="B2" s="651"/>
      <c r="C2" s="651"/>
      <c r="D2" s="651"/>
      <c r="E2" s="651"/>
    </row>
    <row r="3" spans="1:10" ht="18.649999999999999" customHeight="1" thickBot="1">
      <c r="B3" s="466" t="s">
        <v>459</v>
      </c>
      <c r="C3" s="467"/>
      <c r="D3" s="467"/>
      <c r="E3" s="468"/>
    </row>
    <row r="4" spans="1:10" ht="13.15" customHeight="1" thickBot="1">
      <c r="B4" s="652" t="s">
        <v>460</v>
      </c>
      <c r="C4" s="652"/>
      <c r="D4" s="652"/>
      <c r="E4" s="652"/>
      <c r="F4" s="264"/>
      <c r="G4" s="264"/>
    </row>
    <row r="5" spans="1:10" ht="40.15" customHeight="1">
      <c r="B5" s="653" t="s">
        <v>461</v>
      </c>
      <c r="C5" s="654" t="s">
        <v>462</v>
      </c>
      <c r="D5" s="654" t="s">
        <v>463</v>
      </c>
      <c r="E5" s="655" t="s">
        <v>186</v>
      </c>
      <c r="F5" s="264"/>
      <c r="G5" s="264"/>
    </row>
    <row r="6" spans="1:10" ht="13" customHeight="1">
      <c r="B6" s="656" t="s">
        <v>464</v>
      </c>
      <c r="C6" s="657">
        <v>421.19</v>
      </c>
      <c r="D6" s="657">
        <v>420.42</v>
      </c>
      <c r="E6" s="658">
        <v>-0.76999999999998181</v>
      </c>
    </row>
    <row r="7" spans="1:10" ht="13" customHeight="1">
      <c r="B7" s="659" t="s">
        <v>465</v>
      </c>
      <c r="C7" s="660">
        <v>411.3</v>
      </c>
      <c r="D7" s="660">
        <v>410.31</v>
      </c>
      <c r="E7" s="658">
        <v>-0.99000000000000909</v>
      </c>
    </row>
    <row r="8" spans="1:10" ht="13" customHeight="1">
      <c r="B8" s="659" t="s">
        <v>466</v>
      </c>
      <c r="C8" s="660">
        <v>276.88</v>
      </c>
      <c r="D8" s="660">
        <v>276.88</v>
      </c>
      <c r="E8" s="658">
        <v>0</v>
      </c>
    </row>
    <row r="9" spans="1:10" ht="13" customHeight="1">
      <c r="B9" s="659" t="s">
        <v>467</v>
      </c>
      <c r="C9" s="660">
        <v>433.25</v>
      </c>
      <c r="D9" s="660">
        <v>432.94</v>
      </c>
      <c r="E9" s="658">
        <v>-0.31000000000000227</v>
      </c>
    </row>
    <row r="10" spans="1:10" ht="13" customHeight="1" thickBot="1">
      <c r="B10" s="661" t="s">
        <v>468</v>
      </c>
      <c r="C10" s="662">
        <v>433.06</v>
      </c>
      <c r="D10" s="662">
        <v>432.28</v>
      </c>
      <c r="E10" s="663">
        <v>-0.78000000000002956</v>
      </c>
    </row>
    <row r="11" spans="1:10" ht="13" customHeight="1" thickBot="1">
      <c r="B11" s="664"/>
      <c r="C11" s="665"/>
      <c r="D11" s="665"/>
      <c r="E11" s="666"/>
    </row>
    <row r="12" spans="1:10" ht="15.75" customHeight="1" thickBot="1">
      <c r="B12" s="466" t="s">
        <v>469</v>
      </c>
      <c r="C12" s="467"/>
      <c r="D12" s="467"/>
      <c r="E12" s="468"/>
    </row>
    <row r="13" spans="1:10" ht="12" customHeight="1" thickBot="1">
      <c r="B13" s="667"/>
      <c r="C13" s="667"/>
      <c r="D13" s="667"/>
      <c r="E13" s="667"/>
      <c r="J13" s="668"/>
    </row>
    <row r="14" spans="1:10" ht="40.15" customHeight="1">
      <c r="B14" s="669" t="s">
        <v>470</v>
      </c>
      <c r="C14" s="654" t="s">
        <v>462</v>
      </c>
      <c r="D14" s="654" t="s">
        <v>463</v>
      </c>
      <c r="E14" s="670" t="s">
        <v>186</v>
      </c>
      <c r="J14" s="668"/>
    </row>
    <row r="15" spans="1:10" ht="13" customHeight="1">
      <c r="B15" s="671" t="s">
        <v>471</v>
      </c>
      <c r="C15" s="672"/>
      <c r="D15" s="672"/>
      <c r="E15" s="673"/>
    </row>
    <row r="16" spans="1:10" ht="13" customHeight="1">
      <c r="B16" s="671" t="s">
        <v>472</v>
      </c>
      <c r="C16" s="674">
        <v>167.64</v>
      </c>
      <c r="D16" s="674">
        <v>167.62</v>
      </c>
      <c r="E16" s="675">
        <v>-1.999999999998181E-2</v>
      </c>
    </row>
    <row r="17" spans="2:5" ht="13" customHeight="1">
      <c r="B17" s="671" t="s">
        <v>473</v>
      </c>
      <c r="C17" s="674">
        <v>314.92</v>
      </c>
      <c r="D17" s="674">
        <v>315.33</v>
      </c>
      <c r="E17" s="675">
        <v>0.40999999999996817</v>
      </c>
    </row>
    <row r="18" spans="2:5" ht="13" customHeight="1">
      <c r="B18" s="671" t="s">
        <v>474</v>
      </c>
      <c r="C18" s="674">
        <v>168.19</v>
      </c>
      <c r="D18" s="674">
        <v>181.6</v>
      </c>
      <c r="E18" s="675">
        <v>13.409999999999997</v>
      </c>
    </row>
    <row r="19" spans="2:5" ht="13" customHeight="1">
      <c r="B19" s="671" t="s">
        <v>475</v>
      </c>
      <c r="C19" s="674">
        <v>258.06</v>
      </c>
      <c r="D19" s="674">
        <v>258.19</v>
      </c>
      <c r="E19" s="675">
        <v>0.12999999999999545</v>
      </c>
    </row>
    <row r="20" spans="2:5" ht="13" customHeight="1">
      <c r="B20" s="676" t="s">
        <v>476</v>
      </c>
      <c r="C20" s="677">
        <v>230.29</v>
      </c>
      <c r="D20" s="677">
        <v>231.3</v>
      </c>
      <c r="E20" s="678">
        <v>1.0100000000000193</v>
      </c>
    </row>
    <row r="21" spans="2:5" ht="13" customHeight="1">
      <c r="B21" s="671" t="s">
        <v>477</v>
      </c>
      <c r="C21" s="679"/>
      <c r="D21" s="679"/>
      <c r="E21" s="680"/>
    </row>
    <row r="22" spans="2:5" ht="13" customHeight="1">
      <c r="B22" s="671" t="s">
        <v>478</v>
      </c>
      <c r="C22" s="674">
        <v>464.09</v>
      </c>
      <c r="D22" s="674">
        <v>464.09</v>
      </c>
      <c r="E22" s="680">
        <v>0</v>
      </c>
    </row>
    <row r="23" spans="2:5" ht="13" customHeight="1">
      <c r="B23" s="671" t="s">
        <v>479</v>
      </c>
      <c r="C23" s="660">
        <v>669.25</v>
      </c>
      <c r="D23" s="660">
        <v>671.05</v>
      </c>
      <c r="E23" s="680">
        <v>1.7999999999999545</v>
      </c>
    </row>
    <row r="24" spans="2:5" ht="13" customHeight="1">
      <c r="B24" s="671" t="s">
        <v>480</v>
      </c>
      <c r="C24" s="660">
        <v>330</v>
      </c>
      <c r="D24" s="660">
        <v>350</v>
      </c>
      <c r="E24" s="680">
        <v>20</v>
      </c>
    </row>
    <row r="25" spans="2:5" ht="13" customHeight="1">
      <c r="B25" s="671" t="s">
        <v>481</v>
      </c>
      <c r="C25" s="660">
        <v>549.24</v>
      </c>
      <c r="D25" s="660">
        <v>557.33000000000004</v>
      </c>
      <c r="E25" s="680">
        <v>8.0900000000000318</v>
      </c>
    </row>
    <row r="26" spans="2:5" ht="13" customHeight="1" thickBot="1">
      <c r="B26" s="681" t="s">
        <v>482</v>
      </c>
      <c r="C26" s="682">
        <v>613.79999999999995</v>
      </c>
      <c r="D26" s="682">
        <v>618.01</v>
      </c>
      <c r="E26" s="683">
        <v>4.2100000000000364</v>
      </c>
    </row>
    <row r="27" spans="2:5" ht="13" customHeight="1">
      <c r="B27" s="684"/>
      <c r="C27" s="685"/>
      <c r="D27" s="685"/>
      <c r="E27" s="686"/>
    </row>
    <row r="28" spans="2:5" ht="18.649999999999999" customHeight="1">
      <c r="B28" s="592" t="s">
        <v>483</v>
      </c>
      <c r="C28" s="592"/>
      <c r="D28" s="592"/>
      <c r="E28" s="592"/>
    </row>
    <row r="29" spans="2:5" ht="10.5" customHeight="1" thickBot="1">
      <c r="B29" s="593"/>
      <c r="C29" s="593"/>
      <c r="D29" s="593"/>
      <c r="E29" s="593"/>
    </row>
    <row r="30" spans="2:5" ht="18.649999999999999" customHeight="1" thickBot="1">
      <c r="B30" s="466" t="s">
        <v>484</v>
      </c>
      <c r="C30" s="467"/>
      <c r="D30" s="467"/>
      <c r="E30" s="468"/>
    </row>
    <row r="31" spans="2:5" ht="14.5" customHeight="1" thickBot="1">
      <c r="B31" s="652" t="s">
        <v>485</v>
      </c>
      <c r="C31" s="652"/>
      <c r="D31" s="652"/>
      <c r="E31" s="652"/>
    </row>
    <row r="32" spans="2:5" ht="40.15" customHeight="1">
      <c r="B32" s="669" t="s">
        <v>486</v>
      </c>
      <c r="C32" s="687" t="s">
        <v>462</v>
      </c>
      <c r="D32" s="687" t="s">
        <v>463</v>
      </c>
      <c r="E32" s="670" t="s">
        <v>186</v>
      </c>
    </row>
    <row r="33" spans="2:5" ht="15" customHeight="1">
      <c r="B33" s="659" t="s">
        <v>487</v>
      </c>
      <c r="C33" s="688">
        <v>1142.8</v>
      </c>
      <c r="D33" s="688">
        <v>1159.5999999999999</v>
      </c>
      <c r="E33" s="689">
        <v>16.799999999999955</v>
      </c>
    </row>
    <row r="34" spans="2:5" ht="14.25" customHeight="1">
      <c r="B34" s="659" t="s">
        <v>488</v>
      </c>
      <c r="C34" s="688">
        <v>1072.3</v>
      </c>
      <c r="D34" s="688">
        <v>1181.5999999999999</v>
      </c>
      <c r="E34" s="689">
        <v>109.29999999999995</v>
      </c>
    </row>
    <row r="35" spans="2:5" ht="14.25" customHeight="1">
      <c r="B35" s="659" t="s">
        <v>489</v>
      </c>
      <c r="C35" s="688">
        <v>1228.0999999999999</v>
      </c>
      <c r="D35" s="688">
        <v>1247.3</v>
      </c>
      <c r="E35" s="689">
        <v>19.200000000000045</v>
      </c>
    </row>
    <row r="36" spans="2:5" ht="14.25" customHeight="1">
      <c r="B36" s="659" t="s">
        <v>490</v>
      </c>
      <c r="C36" s="688">
        <v>1038.4000000000001</v>
      </c>
      <c r="D36" s="688">
        <v>1186</v>
      </c>
      <c r="E36" s="689">
        <v>147.59999999999991</v>
      </c>
    </row>
    <row r="37" spans="2:5" ht="14.25" customHeight="1">
      <c r="B37" s="659" t="s">
        <v>491</v>
      </c>
      <c r="C37" s="688">
        <v>1106.4000000000001</v>
      </c>
      <c r="D37" s="688">
        <v>1114.9000000000001</v>
      </c>
      <c r="E37" s="689">
        <v>8.5</v>
      </c>
    </row>
    <row r="38" spans="2:5" ht="14.25" customHeight="1" thickBot="1">
      <c r="B38" s="661" t="s">
        <v>492</v>
      </c>
      <c r="C38" s="690">
        <v>349.6</v>
      </c>
      <c r="D38" s="690">
        <v>330</v>
      </c>
      <c r="E38" s="691">
        <v>-19.600000000000023</v>
      </c>
    </row>
    <row r="40" spans="2:5">
      <c r="E40" s="173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E9A3-70E2-4E88-BC7A-0151BA1EF630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453125" defaultRowHeight="12.5"/>
  <cols>
    <col min="1" max="1" width="2.1796875" style="591" customWidth="1"/>
    <col min="2" max="2" width="32.81640625" style="591" customWidth="1"/>
    <col min="3" max="11" width="16.7265625" style="591" customWidth="1"/>
    <col min="12" max="12" width="3.26953125" style="591" customWidth="1"/>
    <col min="13" max="13" width="11.453125" style="591"/>
    <col min="14" max="14" width="16.1796875" style="591" customWidth="1"/>
    <col min="15" max="16384" width="11.453125" style="591"/>
  </cols>
  <sheetData>
    <row r="1" spans="2:20" hidden="1">
      <c r="B1" s="692"/>
      <c r="C1" s="692"/>
      <c r="D1" s="692"/>
      <c r="E1" s="692"/>
      <c r="F1" s="692"/>
      <c r="G1" s="692"/>
      <c r="H1" s="692"/>
      <c r="I1" s="692"/>
      <c r="J1" s="692"/>
      <c r="K1" s="693"/>
      <c r="L1" s="694" t="s">
        <v>493</v>
      </c>
      <c r="M1" s="695"/>
      <c r="N1" s="695"/>
      <c r="O1" s="695"/>
      <c r="P1" s="695"/>
      <c r="Q1" s="695"/>
      <c r="R1" s="695"/>
      <c r="S1" s="695"/>
      <c r="T1" s="695"/>
    </row>
    <row r="2" spans="2:20" ht="21.65" customHeight="1">
      <c r="B2" s="692"/>
      <c r="C2" s="692"/>
      <c r="D2" s="692"/>
      <c r="E2" s="692"/>
      <c r="F2" s="692"/>
      <c r="G2" s="692"/>
      <c r="H2" s="692"/>
      <c r="I2" s="692"/>
      <c r="J2" s="692"/>
      <c r="K2" s="696"/>
      <c r="L2" s="697"/>
      <c r="M2" s="698"/>
      <c r="N2" s="698"/>
      <c r="O2" s="698"/>
      <c r="P2" s="698"/>
      <c r="Q2" s="698"/>
      <c r="R2" s="698"/>
      <c r="S2" s="698"/>
      <c r="T2" s="698"/>
    </row>
    <row r="3" spans="2:20" ht="9.65" customHeight="1"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  <c r="N3" s="692"/>
      <c r="O3" s="692"/>
      <c r="P3" s="692"/>
      <c r="Q3" s="692"/>
      <c r="R3" s="692"/>
      <c r="S3" s="692"/>
      <c r="T3" s="692"/>
    </row>
    <row r="4" spans="2:20" ht="23.5" customHeight="1" thickBot="1">
      <c r="B4" s="375" t="s">
        <v>494</v>
      </c>
      <c r="C4" s="375"/>
      <c r="D4" s="375"/>
      <c r="E4" s="375"/>
      <c r="F4" s="375"/>
      <c r="G4" s="375"/>
      <c r="H4" s="375"/>
      <c r="I4" s="375"/>
      <c r="J4" s="375"/>
      <c r="K4" s="375"/>
      <c r="L4" s="698"/>
      <c r="M4" s="698"/>
      <c r="N4" s="698"/>
      <c r="O4" s="698"/>
      <c r="P4" s="698"/>
      <c r="Q4" s="698"/>
      <c r="R4" s="698"/>
      <c r="S4" s="692"/>
      <c r="T4" s="692"/>
    </row>
    <row r="5" spans="2:20" ht="21" customHeight="1" thickBot="1">
      <c r="B5" s="466" t="s">
        <v>495</v>
      </c>
      <c r="C5" s="467"/>
      <c r="D5" s="467"/>
      <c r="E5" s="467"/>
      <c r="F5" s="467"/>
      <c r="G5" s="467"/>
      <c r="H5" s="467"/>
      <c r="I5" s="467"/>
      <c r="J5" s="467"/>
      <c r="K5" s="468"/>
      <c r="L5" s="699"/>
      <c r="M5" s="699"/>
      <c r="N5" s="699"/>
      <c r="O5" s="699"/>
      <c r="P5" s="699"/>
      <c r="Q5" s="699"/>
      <c r="R5" s="699"/>
      <c r="S5" s="692"/>
      <c r="T5" s="692"/>
    </row>
    <row r="6" spans="2:20" ht="13.15" customHeight="1">
      <c r="L6" s="698"/>
      <c r="M6" s="698"/>
      <c r="N6" s="698"/>
      <c r="O6" s="698"/>
      <c r="P6" s="698"/>
      <c r="Q6" s="698"/>
      <c r="R6" s="699"/>
      <c r="S6" s="692"/>
      <c r="T6" s="692"/>
    </row>
    <row r="7" spans="2:20" ht="13.15" customHeight="1">
      <c r="B7" s="700" t="s">
        <v>496</v>
      </c>
      <c r="C7" s="700"/>
      <c r="D7" s="700"/>
      <c r="E7" s="700"/>
      <c r="F7" s="700"/>
      <c r="G7" s="700"/>
      <c r="H7" s="700"/>
      <c r="I7" s="700"/>
      <c r="J7" s="700"/>
      <c r="K7" s="700"/>
      <c r="L7" s="698"/>
      <c r="M7" s="698"/>
      <c r="N7" s="698"/>
      <c r="O7" s="698"/>
      <c r="P7" s="698"/>
      <c r="Q7" s="698"/>
      <c r="R7" s="699"/>
      <c r="S7" s="692"/>
      <c r="T7" s="692"/>
    </row>
    <row r="8" spans="2:20" ht="13" thickBot="1">
      <c r="B8" s="259"/>
      <c r="C8" s="259"/>
      <c r="D8" s="259"/>
      <c r="E8" s="259"/>
      <c r="F8" s="259"/>
      <c r="G8" s="259"/>
      <c r="H8" s="259"/>
      <c r="I8" s="259"/>
      <c r="J8" s="259"/>
      <c r="K8" s="259"/>
    </row>
    <row r="9" spans="2:20" ht="19.899999999999999" customHeight="1">
      <c r="B9" s="701" t="s">
        <v>497</v>
      </c>
      <c r="C9" s="702" t="s">
        <v>498</v>
      </c>
      <c r="D9" s="703"/>
      <c r="E9" s="704"/>
      <c r="F9" s="702" t="s">
        <v>499</v>
      </c>
      <c r="G9" s="703"/>
      <c r="H9" s="704"/>
      <c r="I9" s="702" t="s">
        <v>500</v>
      </c>
      <c r="J9" s="703"/>
      <c r="K9" s="705"/>
    </row>
    <row r="10" spans="2:20" ht="37.15" customHeight="1">
      <c r="B10" s="706"/>
      <c r="C10" s="707" t="s">
        <v>433</v>
      </c>
      <c r="D10" s="707" t="s">
        <v>434</v>
      </c>
      <c r="E10" s="708" t="s">
        <v>501</v>
      </c>
      <c r="F10" s="707" t="s">
        <v>433</v>
      </c>
      <c r="G10" s="707" t="s">
        <v>434</v>
      </c>
      <c r="H10" s="708" t="s">
        <v>501</v>
      </c>
      <c r="I10" s="707" t="s">
        <v>433</v>
      </c>
      <c r="J10" s="707" t="s">
        <v>434</v>
      </c>
      <c r="K10" s="709" t="s">
        <v>501</v>
      </c>
    </row>
    <row r="11" spans="2:20" ht="30" customHeight="1" thickBot="1">
      <c r="B11" s="710" t="s">
        <v>502</v>
      </c>
      <c r="C11" s="711">
        <v>157.22999999999999</v>
      </c>
      <c r="D11" s="711">
        <v>160.93</v>
      </c>
      <c r="E11" s="712">
        <v>3.7000000000000171</v>
      </c>
      <c r="F11" s="711">
        <v>152.1</v>
      </c>
      <c r="G11" s="711">
        <v>158.03</v>
      </c>
      <c r="H11" s="712">
        <v>5.9300000000000068</v>
      </c>
      <c r="I11" s="711">
        <v>159.13</v>
      </c>
      <c r="J11" s="711">
        <v>161.79</v>
      </c>
      <c r="K11" s="519">
        <v>2.6599999999999966</v>
      </c>
    </row>
    <row r="12" spans="2:20" ht="19.899999999999999" customHeight="1">
      <c r="B12" s="259"/>
      <c r="C12" s="259"/>
      <c r="D12" s="259"/>
      <c r="E12" s="259"/>
      <c r="F12" s="259"/>
      <c r="G12" s="259"/>
      <c r="H12" s="259"/>
      <c r="I12" s="259"/>
      <c r="J12" s="259"/>
      <c r="K12" s="259"/>
    </row>
    <row r="13" spans="2:20" ht="19.899999999999999" customHeight="1" thickBot="1">
      <c r="B13" s="259"/>
      <c r="C13" s="259"/>
      <c r="D13" s="259"/>
      <c r="E13" s="259"/>
      <c r="F13" s="259"/>
      <c r="G13" s="259"/>
      <c r="H13" s="259"/>
      <c r="I13" s="259"/>
      <c r="J13" s="259"/>
      <c r="K13" s="259"/>
    </row>
    <row r="14" spans="2:20" ht="19.899999999999999" customHeight="1">
      <c r="B14" s="701" t="s">
        <v>497</v>
      </c>
      <c r="C14" s="702" t="s">
        <v>503</v>
      </c>
      <c r="D14" s="703"/>
      <c r="E14" s="704"/>
      <c r="F14" s="702" t="s">
        <v>504</v>
      </c>
      <c r="G14" s="703"/>
      <c r="H14" s="704"/>
      <c r="I14" s="702" t="s">
        <v>505</v>
      </c>
      <c r="J14" s="703"/>
      <c r="K14" s="705"/>
    </row>
    <row r="15" spans="2:20" ht="37.15" customHeight="1">
      <c r="B15" s="706"/>
      <c r="C15" s="707" t="s">
        <v>433</v>
      </c>
      <c r="D15" s="707" t="s">
        <v>434</v>
      </c>
      <c r="E15" s="708" t="s">
        <v>186</v>
      </c>
      <c r="F15" s="707" t="s">
        <v>433</v>
      </c>
      <c r="G15" s="707" t="s">
        <v>434</v>
      </c>
      <c r="H15" s="708" t="s">
        <v>186</v>
      </c>
      <c r="I15" s="707" t="s">
        <v>433</v>
      </c>
      <c r="J15" s="707" t="s">
        <v>434</v>
      </c>
      <c r="K15" s="709" t="s">
        <v>186</v>
      </c>
    </row>
    <row r="16" spans="2:20" ht="30" customHeight="1" thickBot="1">
      <c r="B16" s="710" t="s">
        <v>502</v>
      </c>
      <c r="C16" s="711">
        <v>159.63999999999999</v>
      </c>
      <c r="D16" s="711">
        <v>162.91999999999999</v>
      </c>
      <c r="E16" s="712">
        <v>3.2800000000000011</v>
      </c>
      <c r="F16" s="711">
        <v>154.27000000000001</v>
      </c>
      <c r="G16" s="711">
        <v>155.6</v>
      </c>
      <c r="H16" s="712">
        <v>1.3299999999999841</v>
      </c>
      <c r="I16" s="711">
        <v>157.71</v>
      </c>
      <c r="J16" s="711">
        <v>163.51</v>
      </c>
      <c r="K16" s="519">
        <v>5.7999999999999829</v>
      </c>
    </row>
    <row r="17" spans="2:11" ht="19.899999999999999" customHeight="1"/>
    <row r="18" spans="2:11" ht="19.899999999999999" customHeight="1" thickBot="1"/>
    <row r="19" spans="2:11" ht="19.899999999999999" customHeight="1" thickBot="1">
      <c r="B19" s="466" t="s">
        <v>506</v>
      </c>
      <c r="C19" s="467"/>
      <c r="D19" s="467"/>
      <c r="E19" s="467"/>
      <c r="F19" s="467"/>
      <c r="G19" s="467"/>
      <c r="H19" s="467"/>
      <c r="I19" s="467"/>
      <c r="J19" s="467"/>
      <c r="K19" s="468"/>
    </row>
    <row r="20" spans="2:11" ht="19.899999999999999" customHeight="1">
      <c r="B20" s="280"/>
    </row>
    <row r="21" spans="2:11" ht="19.899999999999999" customHeight="1" thickBot="1"/>
    <row r="22" spans="2:11" ht="19.899999999999999" customHeight="1">
      <c r="B22" s="701" t="s">
        <v>507</v>
      </c>
      <c r="C22" s="702" t="s">
        <v>508</v>
      </c>
      <c r="D22" s="703"/>
      <c r="E22" s="704"/>
      <c r="F22" s="702" t="s">
        <v>509</v>
      </c>
      <c r="G22" s="703"/>
      <c r="H22" s="704"/>
      <c r="I22" s="702" t="s">
        <v>510</v>
      </c>
      <c r="J22" s="703"/>
      <c r="K22" s="705"/>
    </row>
    <row r="23" spans="2:11" ht="37.15" customHeight="1">
      <c r="B23" s="706"/>
      <c r="C23" s="713" t="s">
        <v>433</v>
      </c>
      <c r="D23" s="713" t="s">
        <v>434</v>
      </c>
      <c r="E23" s="714" t="s">
        <v>186</v>
      </c>
      <c r="F23" s="713" t="s">
        <v>433</v>
      </c>
      <c r="G23" s="713" t="s">
        <v>434</v>
      </c>
      <c r="H23" s="714" t="s">
        <v>186</v>
      </c>
      <c r="I23" s="713" t="s">
        <v>433</v>
      </c>
      <c r="J23" s="713" t="s">
        <v>434</v>
      </c>
      <c r="K23" s="715" t="s">
        <v>186</v>
      </c>
    </row>
    <row r="24" spans="2:11" ht="30" customHeight="1">
      <c r="B24" s="716" t="s">
        <v>511</v>
      </c>
      <c r="C24" s="717" t="s">
        <v>105</v>
      </c>
      <c r="D24" s="717" t="s">
        <v>105</v>
      </c>
      <c r="E24" s="718" t="s">
        <v>105</v>
      </c>
      <c r="F24" s="717">
        <v>1.31</v>
      </c>
      <c r="G24" s="717">
        <v>1.33</v>
      </c>
      <c r="H24" s="718">
        <v>2.0000000000000018E-2</v>
      </c>
      <c r="I24" s="717">
        <v>1.27</v>
      </c>
      <c r="J24" s="717">
        <v>1.3</v>
      </c>
      <c r="K24" s="719">
        <v>3.0000000000000027E-2</v>
      </c>
    </row>
    <row r="25" spans="2:11" ht="30" customHeight="1">
      <c r="B25" s="716" t="s">
        <v>512</v>
      </c>
      <c r="C25" s="717">
        <v>1.27</v>
      </c>
      <c r="D25" s="717">
        <v>1.29</v>
      </c>
      <c r="E25" s="718">
        <v>2.0000000000000018E-2</v>
      </c>
      <c r="F25" s="717">
        <v>1.25</v>
      </c>
      <c r="G25" s="717">
        <v>1.27</v>
      </c>
      <c r="H25" s="718">
        <v>2.0000000000000018E-2</v>
      </c>
      <c r="I25" s="717">
        <v>1.23</v>
      </c>
      <c r="J25" s="717">
        <v>1.25</v>
      </c>
      <c r="K25" s="719">
        <v>2.0000000000000018E-2</v>
      </c>
    </row>
    <row r="26" spans="2:11" ht="30" customHeight="1">
      <c r="B26" s="716" t="s">
        <v>513</v>
      </c>
      <c r="C26" s="717">
        <v>1.26</v>
      </c>
      <c r="D26" s="717">
        <v>1.28</v>
      </c>
      <c r="E26" s="718">
        <v>2.0000000000000018E-2</v>
      </c>
      <c r="F26" s="717">
        <v>1.25</v>
      </c>
      <c r="G26" s="717">
        <v>1.27</v>
      </c>
      <c r="H26" s="718">
        <v>2.0000000000000018E-2</v>
      </c>
      <c r="I26" s="717">
        <v>1.23</v>
      </c>
      <c r="J26" s="717">
        <v>1.26</v>
      </c>
      <c r="K26" s="719">
        <v>3.0000000000000027E-2</v>
      </c>
    </row>
    <row r="27" spans="2:11" ht="30" customHeight="1">
      <c r="B27" s="716" t="s">
        <v>514</v>
      </c>
      <c r="C27" s="717">
        <v>1.31</v>
      </c>
      <c r="D27" s="717">
        <v>1.34</v>
      </c>
      <c r="E27" s="718">
        <v>3.0000000000000027E-2</v>
      </c>
      <c r="F27" s="717">
        <v>1.3</v>
      </c>
      <c r="G27" s="717">
        <v>1.33</v>
      </c>
      <c r="H27" s="718">
        <v>3.0000000000000027E-2</v>
      </c>
      <c r="I27" s="717">
        <v>1.29</v>
      </c>
      <c r="J27" s="717">
        <v>1.32</v>
      </c>
      <c r="K27" s="719">
        <v>3.0000000000000027E-2</v>
      </c>
    </row>
    <row r="28" spans="2:11" ht="30" customHeight="1">
      <c r="B28" s="716" t="s">
        <v>515</v>
      </c>
      <c r="C28" s="717">
        <v>1.23</v>
      </c>
      <c r="D28" s="717">
        <v>1.27</v>
      </c>
      <c r="E28" s="718">
        <v>4.0000000000000036E-2</v>
      </c>
      <c r="F28" s="717">
        <v>1.2</v>
      </c>
      <c r="G28" s="717">
        <v>1.24</v>
      </c>
      <c r="H28" s="718">
        <v>4.0000000000000036E-2</v>
      </c>
      <c r="I28" s="717">
        <v>1.56</v>
      </c>
      <c r="J28" s="717">
        <v>1.61</v>
      </c>
      <c r="K28" s="719">
        <v>5.0000000000000044E-2</v>
      </c>
    </row>
    <row r="29" spans="2:11" ht="30" customHeight="1">
      <c r="B29" s="716" t="s">
        <v>516</v>
      </c>
      <c r="C29" s="717">
        <v>1.21</v>
      </c>
      <c r="D29" s="717">
        <v>1.25</v>
      </c>
      <c r="E29" s="718">
        <v>4.0000000000000036E-2</v>
      </c>
      <c r="F29" s="717">
        <v>1.2</v>
      </c>
      <c r="G29" s="717">
        <v>1.24</v>
      </c>
      <c r="H29" s="718">
        <v>4.0000000000000036E-2</v>
      </c>
      <c r="I29" s="717">
        <v>1.71</v>
      </c>
      <c r="J29" s="717">
        <v>1.75</v>
      </c>
      <c r="K29" s="719">
        <v>4.0000000000000036E-2</v>
      </c>
    </row>
    <row r="30" spans="2:11" ht="30" customHeight="1">
      <c r="B30" s="716" t="s">
        <v>517</v>
      </c>
      <c r="C30" s="717">
        <v>1.26</v>
      </c>
      <c r="D30" s="717">
        <v>1.28</v>
      </c>
      <c r="E30" s="718">
        <v>2.0000000000000018E-2</v>
      </c>
      <c r="F30" s="717">
        <v>1.25</v>
      </c>
      <c r="G30" s="717">
        <v>1.27</v>
      </c>
      <c r="H30" s="718">
        <v>2.0000000000000018E-2</v>
      </c>
      <c r="I30" s="717">
        <v>1.7</v>
      </c>
      <c r="J30" s="717">
        <v>1.71</v>
      </c>
      <c r="K30" s="719">
        <v>1.0000000000000009E-2</v>
      </c>
    </row>
    <row r="31" spans="2:11" ht="30" customHeight="1" thickBot="1">
      <c r="B31" s="720" t="s">
        <v>518</v>
      </c>
      <c r="C31" s="721">
        <v>1.29</v>
      </c>
      <c r="D31" s="721">
        <v>1.29</v>
      </c>
      <c r="E31" s="722">
        <v>0</v>
      </c>
      <c r="F31" s="721">
        <v>1.25</v>
      </c>
      <c r="G31" s="721">
        <v>1.25</v>
      </c>
      <c r="H31" s="722">
        <v>0</v>
      </c>
      <c r="I31" s="721">
        <v>1.23</v>
      </c>
      <c r="J31" s="721">
        <v>1.23</v>
      </c>
      <c r="K31" s="723">
        <v>0</v>
      </c>
    </row>
    <row r="32" spans="2:11" ht="16.5" customHeight="1">
      <c r="B32" s="724" t="s">
        <v>519</v>
      </c>
    </row>
    <row r="33" spans="11:11">
      <c r="K33" s="173" t="s">
        <v>68</v>
      </c>
    </row>
    <row r="34" spans="11:11">
      <c r="K34" s="332"/>
    </row>
  </sheetData>
  <mergeCells count="18">
    <mergeCell ref="B14:B15"/>
    <mergeCell ref="C14:E14"/>
    <mergeCell ref="F14:H14"/>
    <mergeCell ref="I14:K14"/>
    <mergeCell ref="B19:K19"/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B1CF-4F6D-419A-BE83-25029E744CE0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1796875" defaultRowHeight="11.5"/>
  <cols>
    <col min="1" max="1" width="4.26953125" style="259" customWidth="1"/>
    <col min="2" max="2" width="40.81640625" style="259" customWidth="1"/>
    <col min="3" max="3" width="16.26953125" style="259" customWidth="1"/>
    <col min="4" max="4" width="17.26953125" style="259" customWidth="1"/>
    <col min="5" max="5" width="20.7265625" style="259" customWidth="1"/>
    <col min="6" max="6" width="4.1796875" style="259" customWidth="1"/>
    <col min="7" max="8" width="10.7265625" style="259" customWidth="1"/>
    <col min="9" max="16384" width="9.1796875" style="259"/>
  </cols>
  <sheetData>
    <row r="2" spans="2:8" ht="13.5">
      <c r="E2" s="260"/>
    </row>
    <row r="3" spans="2:8" ht="13.9" customHeight="1" thickBot="1">
      <c r="B3" s="651"/>
      <c r="C3" s="651"/>
      <c r="D3" s="651"/>
      <c r="E3" s="651"/>
      <c r="F3" s="651"/>
      <c r="G3" s="651"/>
      <c r="H3" s="651"/>
    </row>
    <row r="4" spans="2:8" ht="19.899999999999999" customHeight="1" thickBot="1">
      <c r="B4" s="466" t="s">
        <v>520</v>
      </c>
      <c r="C4" s="467"/>
      <c r="D4" s="467"/>
      <c r="E4" s="468"/>
      <c r="F4" s="725"/>
      <c r="G4" s="725"/>
      <c r="H4" s="651"/>
    </row>
    <row r="5" spans="2:8" ht="22.9" customHeight="1">
      <c r="B5" s="726" t="s">
        <v>521</v>
      </c>
      <c r="C5" s="726"/>
      <c r="D5" s="726"/>
      <c r="E5" s="726"/>
      <c r="G5" s="651"/>
      <c r="H5" s="651"/>
    </row>
    <row r="6" spans="2:8" ht="15" customHeight="1">
      <c r="B6" s="727"/>
      <c r="C6" s="727"/>
      <c r="D6" s="727"/>
      <c r="E6" s="727"/>
      <c r="F6" s="264"/>
      <c r="G6" s="728"/>
      <c r="H6" s="651"/>
    </row>
    <row r="7" spans="2:8" ht="1" customHeight="1" thickBot="1">
      <c r="B7" s="728"/>
      <c r="C7" s="728"/>
      <c r="D7" s="728"/>
      <c r="E7" s="728"/>
      <c r="F7" s="728"/>
      <c r="G7" s="728"/>
      <c r="H7" s="651"/>
    </row>
    <row r="8" spans="2:8" ht="40.15" customHeight="1">
      <c r="B8" s="729" t="s">
        <v>522</v>
      </c>
      <c r="C8" s="654" t="s">
        <v>523</v>
      </c>
      <c r="D8" s="654" t="s">
        <v>524</v>
      </c>
      <c r="E8" s="730" t="s">
        <v>437</v>
      </c>
      <c r="F8" s="651"/>
      <c r="G8" s="651"/>
      <c r="H8" s="651"/>
    </row>
    <row r="9" spans="2:8" ht="13" customHeight="1">
      <c r="B9" s="731" t="s">
        <v>525</v>
      </c>
      <c r="C9" s="732">
        <v>51.79</v>
      </c>
      <c r="D9" s="732">
        <v>51.91</v>
      </c>
      <c r="E9" s="733">
        <v>0.11999999999999744</v>
      </c>
      <c r="F9" s="651"/>
      <c r="G9" s="651"/>
      <c r="H9" s="651"/>
    </row>
    <row r="10" spans="2:8" ht="32.15" customHeight="1">
      <c r="B10" s="734" t="s">
        <v>526</v>
      </c>
      <c r="C10" s="735"/>
      <c r="D10" s="735"/>
      <c r="E10" s="736"/>
      <c r="F10" s="651"/>
      <c r="G10" s="651"/>
      <c r="H10" s="651"/>
    </row>
    <row r="11" spans="2:8" ht="13" customHeight="1">
      <c r="B11" s="731" t="s">
        <v>527</v>
      </c>
      <c r="C11" s="737">
        <v>122.53</v>
      </c>
      <c r="D11" s="737">
        <v>124.58</v>
      </c>
      <c r="E11" s="733">
        <v>2.0499999999999972</v>
      </c>
      <c r="F11" s="651"/>
      <c r="G11" s="651"/>
      <c r="H11" s="651"/>
    </row>
    <row r="12" spans="2:8" ht="11.25" hidden="1" customHeight="1">
      <c r="B12" s="738"/>
      <c r="C12" s="739"/>
      <c r="D12" s="739"/>
      <c r="E12" s="740"/>
      <c r="F12" s="651"/>
      <c r="G12" s="651"/>
      <c r="H12" s="651"/>
    </row>
    <row r="13" spans="2:8" ht="32.15" customHeight="1">
      <c r="B13" s="734" t="s">
        <v>528</v>
      </c>
      <c r="C13" s="735"/>
      <c r="D13" s="735"/>
      <c r="E13" s="736"/>
      <c r="F13" s="651"/>
      <c r="G13" s="651"/>
      <c r="H13" s="651"/>
    </row>
    <row r="14" spans="2:8" ht="13" customHeight="1">
      <c r="B14" s="731" t="s">
        <v>529</v>
      </c>
      <c r="C14" s="737">
        <v>325</v>
      </c>
      <c r="D14" s="737">
        <v>325</v>
      </c>
      <c r="E14" s="733">
        <v>0</v>
      </c>
      <c r="F14" s="651"/>
      <c r="G14" s="651"/>
      <c r="H14" s="651"/>
    </row>
    <row r="15" spans="2:8" ht="13" customHeight="1">
      <c r="B15" s="731" t="s">
        <v>530</v>
      </c>
      <c r="C15" s="737">
        <v>345</v>
      </c>
      <c r="D15" s="737">
        <v>345</v>
      </c>
      <c r="E15" s="733">
        <v>0</v>
      </c>
      <c r="F15" s="651"/>
      <c r="G15" s="651"/>
      <c r="H15" s="651"/>
    </row>
    <row r="16" spans="2:8" ht="13" customHeight="1" thickBot="1">
      <c r="B16" s="741" t="s">
        <v>531</v>
      </c>
      <c r="C16" s="742">
        <v>351.31</v>
      </c>
      <c r="D16" s="742">
        <v>352.73</v>
      </c>
      <c r="E16" s="743">
        <v>1.4200000000000159</v>
      </c>
      <c r="F16" s="651"/>
      <c r="G16" s="651"/>
      <c r="H16" s="651"/>
    </row>
    <row r="17" spans="2:8" ht="1" customHeight="1">
      <c r="B17" s="744">
        <v>5</v>
      </c>
      <c r="C17" s="744"/>
      <c r="D17" s="744"/>
      <c r="E17" s="744"/>
      <c r="F17" s="651"/>
      <c r="G17" s="651"/>
      <c r="H17" s="651"/>
    </row>
    <row r="18" spans="2:8" ht="22" customHeight="1" thickBot="1">
      <c r="B18" s="745"/>
      <c r="C18" s="745"/>
      <c r="D18" s="745"/>
      <c r="E18" s="745"/>
      <c r="F18" s="651"/>
      <c r="G18" s="651"/>
      <c r="H18" s="651"/>
    </row>
    <row r="19" spans="2:8" ht="14.5" customHeight="1" thickBot="1">
      <c r="B19" s="466" t="s">
        <v>532</v>
      </c>
      <c r="C19" s="467"/>
      <c r="D19" s="467"/>
      <c r="E19" s="468"/>
      <c r="F19" s="651"/>
      <c r="G19" s="651"/>
      <c r="H19" s="651"/>
    </row>
    <row r="20" spans="2:8" ht="21.75" customHeight="1">
      <c r="B20" s="726" t="s">
        <v>521</v>
      </c>
      <c r="C20" s="726"/>
      <c r="D20" s="726"/>
      <c r="E20" s="726"/>
      <c r="F20" s="651"/>
      <c r="G20" s="651"/>
      <c r="H20" s="651"/>
    </row>
    <row r="21" spans="2:8" ht="12" customHeight="1" thickBot="1">
      <c r="B21" s="746"/>
      <c r="C21" s="746"/>
      <c r="D21" s="746"/>
      <c r="E21" s="746"/>
      <c r="F21" s="651"/>
      <c r="G21" s="651"/>
      <c r="H21" s="651"/>
    </row>
    <row r="22" spans="2:8" ht="40.15" customHeight="1">
      <c r="B22" s="729" t="s">
        <v>533</v>
      </c>
      <c r="C22" s="654" t="s">
        <v>523</v>
      </c>
      <c r="D22" s="654" t="s">
        <v>524</v>
      </c>
      <c r="E22" s="730" t="s">
        <v>437</v>
      </c>
      <c r="F22" s="651"/>
      <c r="G22" s="651"/>
      <c r="H22" s="651"/>
    </row>
    <row r="23" spans="2:8" ht="12.75" customHeight="1">
      <c r="B23" s="731" t="s">
        <v>534</v>
      </c>
      <c r="C23" s="747">
        <v>574.28</v>
      </c>
      <c r="D23" s="747">
        <v>591.44000000000005</v>
      </c>
      <c r="E23" s="733">
        <v>17.160000000000082</v>
      </c>
      <c r="F23" s="651"/>
      <c r="G23" s="651"/>
      <c r="H23" s="651"/>
    </row>
    <row r="24" spans="2:8">
      <c r="B24" s="731" t="s">
        <v>535</v>
      </c>
      <c r="C24" s="747">
        <v>902.85</v>
      </c>
      <c r="D24" s="747">
        <v>920.01</v>
      </c>
      <c r="E24" s="733">
        <v>17.159999999999968</v>
      </c>
    </row>
    <row r="25" spans="2:8" ht="32.15" customHeight="1">
      <c r="B25" s="734" t="s">
        <v>528</v>
      </c>
      <c r="C25" s="748"/>
      <c r="D25" s="748"/>
      <c r="E25" s="749"/>
    </row>
    <row r="26" spans="2:8" ht="14.25" customHeight="1">
      <c r="B26" s="731" t="s">
        <v>536</v>
      </c>
      <c r="C26" s="747">
        <v>782.92</v>
      </c>
      <c r="D26" s="747">
        <v>788.01</v>
      </c>
      <c r="E26" s="733">
        <v>5.0900000000000318</v>
      </c>
    </row>
    <row r="27" spans="2:8" ht="32.15" customHeight="1">
      <c r="B27" s="734" t="s">
        <v>537</v>
      </c>
      <c r="C27" s="748"/>
      <c r="D27" s="748"/>
      <c r="E27" s="750"/>
    </row>
    <row r="28" spans="2:8" ht="14.25" customHeight="1">
      <c r="B28" s="731" t="s">
        <v>538</v>
      </c>
      <c r="C28" s="751">
        <v>478.37</v>
      </c>
      <c r="D28" s="751">
        <v>482.72</v>
      </c>
      <c r="E28" s="752">
        <v>4.3500000000000227</v>
      </c>
    </row>
    <row r="29" spans="2:8" ht="32.15" customHeight="1">
      <c r="B29" s="734" t="s">
        <v>539</v>
      </c>
      <c r="C29" s="748"/>
      <c r="D29" s="748"/>
      <c r="E29" s="749"/>
    </row>
    <row r="30" spans="2:8">
      <c r="B30" s="731" t="s">
        <v>540</v>
      </c>
      <c r="C30" s="751" t="s">
        <v>105</v>
      </c>
      <c r="D30" s="751" t="s">
        <v>105</v>
      </c>
      <c r="E30" s="752" t="s">
        <v>105</v>
      </c>
    </row>
    <row r="31" spans="2:8" ht="27.75" customHeight="1">
      <c r="B31" s="734" t="s">
        <v>541</v>
      </c>
      <c r="C31" s="748"/>
      <c r="D31" s="748"/>
      <c r="E31" s="749"/>
    </row>
    <row r="32" spans="2:8">
      <c r="B32" s="731" t="s">
        <v>542</v>
      </c>
      <c r="C32" s="751">
        <v>304.17</v>
      </c>
      <c r="D32" s="751">
        <v>304.32</v>
      </c>
      <c r="E32" s="752">
        <v>0.14999999999997726</v>
      </c>
    </row>
    <row r="33" spans="2:5">
      <c r="B33" s="731" t="s">
        <v>543</v>
      </c>
      <c r="C33" s="751">
        <v>321.35000000000002</v>
      </c>
      <c r="D33" s="751">
        <v>321.35000000000002</v>
      </c>
      <c r="E33" s="752">
        <v>0</v>
      </c>
    </row>
    <row r="34" spans="2:5">
      <c r="B34" s="731" t="s">
        <v>544</v>
      </c>
      <c r="C34" s="753">
        <v>391.66</v>
      </c>
      <c r="D34" s="753">
        <v>391.66</v>
      </c>
      <c r="E34" s="752">
        <v>0</v>
      </c>
    </row>
    <row r="35" spans="2:5" ht="32.15" customHeight="1">
      <c r="B35" s="734" t="s">
        <v>545</v>
      </c>
      <c r="C35" s="748"/>
      <c r="D35" s="748"/>
      <c r="E35" s="750"/>
    </row>
    <row r="36" spans="2:5" ht="16.5" customHeight="1">
      <c r="B36" s="731" t="s">
        <v>546</v>
      </c>
      <c r="C36" s="751">
        <v>217.4</v>
      </c>
      <c r="D36" s="751">
        <v>217.4</v>
      </c>
      <c r="E36" s="752">
        <v>0</v>
      </c>
    </row>
    <row r="37" spans="2:5" ht="23.25" customHeight="1">
      <c r="B37" s="734" t="s">
        <v>547</v>
      </c>
      <c r="C37" s="748"/>
      <c r="D37" s="748"/>
      <c r="E37" s="750"/>
    </row>
    <row r="38" spans="2:5" ht="13.5" customHeight="1">
      <c r="B38" s="731" t="s">
        <v>548</v>
      </c>
      <c r="C38" s="751">
        <v>438</v>
      </c>
      <c r="D38" s="751">
        <v>438</v>
      </c>
      <c r="E38" s="752">
        <v>0</v>
      </c>
    </row>
    <row r="39" spans="2:5" ht="32.15" customHeight="1">
      <c r="B39" s="734" t="s">
        <v>549</v>
      </c>
      <c r="C39" s="748"/>
      <c r="D39" s="748"/>
      <c r="E39" s="749"/>
    </row>
    <row r="40" spans="2:5" ht="16.5" customHeight="1" thickBot="1">
      <c r="B40" s="741" t="s">
        <v>550</v>
      </c>
      <c r="C40" s="754">
        <v>156.5</v>
      </c>
      <c r="D40" s="754">
        <v>156.5</v>
      </c>
      <c r="E40" s="755">
        <v>0</v>
      </c>
    </row>
    <row r="41" spans="2:5">
      <c r="B41" s="259" t="s">
        <v>551</v>
      </c>
    </row>
    <row r="42" spans="2:5">
      <c r="C42" s="332"/>
      <c r="D42" s="332"/>
      <c r="E42" s="332"/>
    </row>
    <row r="43" spans="2:5" ht="13.15" customHeight="1" thickBot="1">
      <c r="B43" s="332"/>
      <c r="C43" s="332"/>
      <c r="D43" s="332"/>
      <c r="E43" s="332"/>
    </row>
    <row r="44" spans="2:5">
      <c r="B44" s="756"/>
      <c r="C44" s="757"/>
      <c r="D44" s="757"/>
      <c r="E44" s="758"/>
    </row>
    <row r="45" spans="2:5">
      <c r="B45" s="639"/>
      <c r="E45" s="759"/>
    </row>
    <row r="46" spans="2:5" ht="12.75" customHeight="1">
      <c r="B46" s="760" t="s">
        <v>552</v>
      </c>
      <c r="C46" s="761"/>
      <c r="D46" s="761"/>
      <c r="E46" s="762"/>
    </row>
    <row r="47" spans="2:5" ht="18" customHeight="1">
      <c r="B47" s="760"/>
      <c r="C47" s="761"/>
      <c r="D47" s="761"/>
      <c r="E47" s="762"/>
    </row>
    <row r="48" spans="2:5">
      <c r="B48" s="639"/>
      <c r="E48" s="759"/>
    </row>
    <row r="49" spans="2:5" ht="14.5">
      <c r="B49" s="639"/>
      <c r="C49" s="763" t="s">
        <v>553</v>
      </c>
      <c r="D49" s="764"/>
      <c r="E49" s="765"/>
    </row>
    <row r="50" spans="2:5">
      <c r="B50" s="639"/>
      <c r="E50" s="759"/>
    </row>
    <row r="51" spans="2:5">
      <c r="B51" s="639"/>
      <c r="E51" s="759"/>
    </row>
    <row r="52" spans="2:5" ht="12" thickBot="1">
      <c r="B52" s="766"/>
      <c r="C52" s="646"/>
      <c r="D52" s="646"/>
      <c r="E52" s="767"/>
    </row>
    <row r="54" spans="2:5">
      <c r="E54" s="173" t="s">
        <v>68</v>
      </c>
    </row>
  </sheetData>
  <mergeCells count="3">
    <mergeCell ref="B4:E4"/>
    <mergeCell ref="B19:E19"/>
    <mergeCell ref="B46:E47"/>
  </mergeCells>
  <hyperlinks>
    <hyperlink ref="C49" r:id="rId1" xr:uid="{B146AF94-DE71-4E67-86F0-5ADEA3E324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8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19</vt:i4>
      </vt:variant>
    </vt:vector>
  </HeadingPairs>
  <TitlesOfParts>
    <vt:vector size="36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Arévalo, Jesús</dc:creator>
  <cp:lastModifiedBy>García Arévalo, Jesús</cp:lastModifiedBy>
  <dcterms:created xsi:type="dcterms:W3CDTF">2026-04-01T14:50:19Z</dcterms:created>
  <dcterms:modified xsi:type="dcterms:W3CDTF">2026-04-01T14:52:25Z</dcterms:modified>
</cp:coreProperties>
</file>