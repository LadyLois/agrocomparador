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0 Precios coyunturales\3 Informes y Resultados\ISC\Semana 2602\"/>
    </mc:Choice>
  </mc:AlternateContent>
  <xr:revisionPtr revIDLastSave="0" documentId="13_ncr:1_{2A71C356-6DB2-4EBE-83C5-7C59B90E652D}" xr6:coauthVersionLast="47" xr6:coauthVersionMax="47" xr10:uidLastSave="{00000000-0000-0000-0000-000000000000}"/>
  <bookViews>
    <workbookView xWindow="-28920" yWindow="-120" windowWidth="29040" windowHeight="15720" xr2:uid="{33444C7D-846E-4535-B106-DA3DBBB8F6D3}"/>
  </bookViews>
  <sheets>
    <sheet name="Indice ISC" sheetId="18" r:id="rId1"/>
    <sheet name="Pág. 4" sheetId="2" r:id="rId2"/>
    <sheet name="Pág. 5" sheetId="3" r:id="rId3"/>
    <sheet name="Pág. 7" sheetId="4" r:id="rId4"/>
    <sheet name="Pág. 9" sheetId="5" r:id="rId5"/>
    <sheet name="Pág. 10" sheetId="6" r:id="rId6"/>
    <sheet name="Pág. 11" sheetId="7" r:id="rId7"/>
    <sheet name="Pág. 12" sheetId="8" r:id="rId8"/>
    <sheet name="Pág. 13" sheetId="9" r:id="rId9"/>
    <sheet name="Pág. 14" sheetId="10" r:id="rId10"/>
    <sheet name="Pág. 15" sheetId="11" r:id="rId11"/>
    <sheet name="Pág. 16" sheetId="12" r:id="rId12"/>
    <sheet name="Pág. 17" sheetId="13" r:id="rId13"/>
    <sheet name="Pág. 18" sheetId="14" r:id="rId14"/>
    <sheet name="Pág. 19" sheetId="15" r:id="rId15"/>
    <sheet name="Pág. 20" sheetId="16" r:id="rId16"/>
    <sheet name="Pág. 21" sheetId="17" r:id="rId17"/>
  </sheets>
  <externalReferences>
    <externalReference r:id="rId18"/>
    <externalReference r:id="rId19"/>
    <externalReference r:id="rId20"/>
    <externalReference r:id="rId21"/>
  </externalReferences>
  <definedNames>
    <definedName name="\A" localSheetId="5">#REF!</definedName>
    <definedName name="\A" localSheetId="6">#REF!</definedName>
    <definedName name="\A" localSheetId="7">#REF!</definedName>
    <definedName name="\A" localSheetId="8">#REF!</definedName>
    <definedName name="\A" localSheetId="9">#REF!</definedName>
    <definedName name="\A" localSheetId="10">#REF!</definedName>
    <definedName name="\A" localSheetId="11">#REF!</definedName>
    <definedName name="\A" localSheetId="12">#REF!</definedName>
    <definedName name="\A" localSheetId="13">#REF!</definedName>
    <definedName name="\A" localSheetId="14">#REF!</definedName>
    <definedName name="\A" localSheetId="15">#REF!</definedName>
    <definedName name="\A" localSheetId="16">#REF!</definedName>
    <definedName name="\A" localSheetId="1">#REF!</definedName>
    <definedName name="\A" localSheetId="2">#REF!</definedName>
    <definedName name="\A" localSheetId="3">#REF!</definedName>
    <definedName name="\A" localSheetId="4">#REF!</definedName>
    <definedName name="\A">#REF!</definedName>
    <definedName name="\B" localSheetId="5">#REF!</definedName>
    <definedName name="\B" localSheetId="6">#REF!</definedName>
    <definedName name="\B" localSheetId="7">#REF!</definedName>
    <definedName name="\B" localSheetId="8">#REF!</definedName>
    <definedName name="\B" localSheetId="9">#REF!</definedName>
    <definedName name="\B" localSheetId="10">#REF!</definedName>
    <definedName name="\B" localSheetId="11">#REF!</definedName>
    <definedName name="\B" localSheetId="12">#REF!</definedName>
    <definedName name="\B" localSheetId="13">#REF!</definedName>
    <definedName name="\B" localSheetId="14">#REF!</definedName>
    <definedName name="\B" localSheetId="15">#REF!</definedName>
    <definedName name="\B" localSheetId="16">#REF!</definedName>
    <definedName name="\B" localSheetId="1">#REF!</definedName>
    <definedName name="\B" localSheetId="2">#REF!</definedName>
    <definedName name="\B" localSheetId="3">#REF!</definedName>
    <definedName name="\B" localSheetId="4">#REF!</definedName>
    <definedName name="\B">#REF!</definedName>
    <definedName name="__123Graph_A" localSheetId="9" hidden="1">#REF!</definedName>
    <definedName name="__123Graph_A" localSheetId="10" hidden="1">#REF!</definedName>
    <definedName name="__123Graph_A" localSheetId="11" hidden="1">#REF!</definedName>
    <definedName name="__123Graph_A" localSheetId="12" hidden="1">#REF!</definedName>
    <definedName name="__123Graph_AACTUAL" localSheetId="9" hidden="1">#REF!</definedName>
    <definedName name="__123Graph_AACTUAL" localSheetId="10" hidden="1">#REF!</definedName>
    <definedName name="__123Graph_AACTUAL" localSheetId="11" hidden="1">#REF!</definedName>
    <definedName name="__123Graph_AACTUAL" localSheetId="12" hidden="1">#REF!</definedName>
    <definedName name="__123Graph_AGRáFICO1" localSheetId="9" hidden="1">#REF!</definedName>
    <definedName name="__123Graph_AGRáFICO1" localSheetId="10" hidden="1">#REF!</definedName>
    <definedName name="__123Graph_AGRáFICO1" localSheetId="11" hidden="1">#REF!</definedName>
    <definedName name="__123Graph_AGRáFICO1" localSheetId="12" hidden="1">#REF!</definedName>
    <definedName name="__123Graph_B" localSheetId="9" hidden="1">#REF!</definedName>
    <definedName name="__123Graph_B" localSheetId="10" hidden="1">#REF!</definedName>
    <definedName name="__123Graph_B" localSheetId="11" hidden="1">#REF!</definedName>
    <definedName name="__123Graph_B" localSheetId="12" hidden="1">#REF!</definedName>
    <definedName name="__123Graph_BACTUAL" localSheetId="9" hidden="1">#REF!</definedName>
    <definedName name="__123Graph_BACTUAL" localSheetId="10" hidden="1">#REF!</definedName>
    <definedName name="__123Graph_BACTUAL" localSheetId="11" hidden="1">#REF!</definedName>
    <definedName name="__123Graph_BACTUAL" localSheetId="12" hidden="1">#REF!</definedName>
    <definedName name="__123Graph_BGRáFICO1" localSheetId="9" hidden="1">#REF!</definedName>
    <definedName name="__123Graph_BGRáFICO1" localSheetId="10" hidden="1">#REF!</definedName>
    <definedName name="__123Graph_BGRáFICO1" localSheetId="11" hidden="1">#REF!</definedName>
    <definedName name="__123Graph_BGRáFICO1" localSheetId="12" hidden="1">#REF!</definedName>
    <definedName name="__123Graph_C" localSheetId="9" hidden="1">#REF!</definedName>
    <definedName name="__123Graph_C" localSheetId="10" hidden="1">#REF!</definedName>
    <definedName name="__123Graph_C" localSheetId="11" hidden="1">#REF!</definedName>
    <definedName name="__123Graph_C" localSheetId="12" hidden="1">#REF!</definedName>
    <definedName name="__123Graph_CACTUAL" localSheetId="9" hidden="1">#REF!</definedName>
    <definedName name="__123Graph_CACTUAL" localSheetId="10" hidden="1">#REF!</definedName>
    <definedName name="__123Graph_CACTUAL" localSheetId="11" hidden="1">#REF!</definedName>
    <definedName name="__123Graph_CACTUAL" localSheetId="12" hidden="1">#REF!</definedName>
    <definedName name="__123Graph_CGRáFICO1" localSheetId="9" hidden="1">#REF!</definedName>
    <definedName name="__123Graph_CGRáFICO1" localSheetId="10" hidden="1">#REF!</definedName>
    <definedName name="__123Graph_CGRáFICO1" localSheetId="11" hidden="1">#REF!</definedName>
    <definedName name="__123Graph_CGRáFICO1" localSheetId="12" hidden="1">#REF!</definedName>
    <definedName name="__123Graph_D" localSheetId="9" hidden="1">#REF!</definedName>
    <definedName name="__123Graph_D" localSheetId="10" hidden="1">#REF!</definedName>
    <definedName name="__123Graph_D" localSheetId="11" hidden="1">#REF!</definedName>
    <definedName name="__123Graph_D" localSheetId="12" hidden="1">#REF!</definedName>
    <definedName name="__123Graph_DACTUAL" localSheetId="9" hidden="1">#REF!</definedName>
    <definedName name="__123Graph_DACTUAL" localSheetId="10" hidden="1">#REF!</definedName>
    <definedName name="__123Graph_DACTUAL" localSheetId="11" hidden="1">#REF!</definedName>
    <definedName name="__123Graph_DACTUAL" localSheetId="12" hidden="1">#REF!</definedName>
    <definedName name="__123Graph_DGRáFICO1" localSheetId="9" hidden="1">#REF!</definedName>
    <definedName name="__123Graph_DGRáFICO1" localSheetId="10" hidden="1">#REF!</definedName>
    <definedName name="__123Graph_DGRáFICO1" localSheetId="11" hidden="1">#REF!</definedName>
    <definedName name="__123Graph_DGRáFICO1" localSheetId="12" hidden="1">#REF!</definedName>
    <definedName name="__123Graph_X" localSheetId="9" hidden="1">#REF!</definedName>
    <definedName name="__123Graph_X" localSheetId="10" hidden="1">#REF!</definedName>
    <definedName name="__123Graph_X" localSheetId="11" hidden="1">#REF!</definedName>
    <definedName name="__123Graph_X" localSheetId="12" hidden="1">#REF!</definedName>
    <definedName name="__123Graph_XACTUAL" localSheetId="9" hidden="1">#REF!</definedName>
    <definedName name="__123Graph_XACTUAL" localSheetId="10" hidden="1">#REF!</definedName>
    <definedName name="__123Graph_XACTUAL" localSheetId="11" hidden="1">#REF!</definedName>
    <definedName name="__123Graph_XACTUAL" localSheetId="12" hidden="1">#REF!</definedName>
    <definedName name="__123Graph_XGRáFICO1" localSheetId="9" hidden="1">#REF!</definedName>
    <definedName name="__123Graph_XGRáFICO1" localSheetId="10" hidden="1">#REF!</definedName>
    <definedName name="__123Graph_XGRáFICO1" localSheetId="11" hidden="1">#REF!</definedName>
    <definedName name="__123Graph_XGRáFICO1" localSheetId="12" hidden="1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localSheetId="9" hidden="1">#REF!</definedName>
    <definedName name="_Fill" localSheetId="10" hidden="1">#REF!</definedName>
    <definedName name="_Fill" localSheetId="11" hidden="1">#REF!</definedName>
    <definedName name="_Fill" localSheetId="12" hidden="1">#REF!</definedName>
    <definedName name="_Fill" localSheetId="13" hidden="1">#REF!</definedName>
    <definedName name="_Fill" localSheetId="14" hidden="1">#REF!</definedName>
    <definedName name="_Fill" localSheetId="15" hidden="1">#REF!</definedName>
    <definedName name="_Fill" localSheetId="16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hidden="1">#REF!</definedName>
    <definedName name="_xlnm._FilterDatabase" localSheetId="5" hidden="1">'[1]PRECIOS CE'!#REF!</definedName>
    <definedName name="_xlnm._FilterDatabase" localSheetId="6" hidden="1">'[1]PRECIOS CE'!#REF!</definedName>
    <definedName name="_xlnm._FilterDatabase" localSheetId="7" hidden="1">'[1]PRECIOS CE'!#REF!</definedName>
    <definedName name="_xlnm._FilterDatabase" localSheetId="8" hidden="1">'[1]PRECIOS CE'!#REF!</definedName>
    <definedName name="_xlnm._FilterDatabase" localSheetId="9" hidden="1">#REF!</definedName>
    <definedName name="_xlnm._FilterDatabase" localSheetId="10" hidden="1">#REF!</definedName>
    <definedName name="_xlnm._FilterDatabase" localSheetId="11" hidden="1">#REF!</definedName>
    <definedName name="_xlnm._FilterDatabase" localSheetId="12" hidden="1">#REF!</definedName>
    <definedName name="_xlnm._FilterDatabase" localSheetId="13" hidden="1">'[2]PRECIOS CE'!#REF!</definedName>
    <definedName name="_xlnm._FilterDatabase" localSheetId="14" hidden="1">'[2]PRECIOS CE'!#REF!</definedName>
    <definedName name="_xlnm._FilterDatabase" localSheetId="15" hidden="1">'[2]PRECIOS CE'!#REF!</definedName>
    <definedName name="_xlnm._FilterDatabase" localSheetId="16" hidden="1">'[2]PRECIOS CE'!#REF!</definedName>
    <definedName name="_xlnm._FilterDatabase" localSheetId="1" hidden="1">'[1]PRECIOS CE'!#REF!</definedName>
    <definedName name="_xlnm._FilterDatabase" localSheetId="2" hidden="1">'[3]PRECIOS CE'!#REF!</definedName>
    <definedName name="_xlnm._FilterDatabase" localSheetId="3" hidden="1">'[2]PRECIOS CE'!#REF!</definedName>
    <definedName name="_xlnm._FilterDatabase" localSheetId="4" hidden="1">'[1]PRECIOS CE'!#REF!</definedName>
    <definedName name="_xlnm._FilterDatabase" hidden="1">'[1]PRECIOS CE'!#REF!</definedName>
    <definedName name="a" localSheetId="5" hidden="1">'[1]PRECIOS CE'!#REF!</definedName>
    <definedName name="a" localSheetId="6" hidden="1">'[1]PRECIOS CE'!#REF!</definedName>
    <definedName name="a" localSheetId="7" hidden="1">'[1]PRECIOS CE'!#REF!</definedName>
    <definedName name="a" localSheetId="8" hidden="1">'[1]PRECIOS CE'!#REF!</definedName>
    <definedName name="a" localSheetId="9" hidden="1">#REF!</definedName>
    <definedName name="a" localSheetId="10" hidden="1">#REF!</definedName>
    <definedName name="a" localSheetId="11" hidden="1">#REF!</definedName>
    <definedName name="a" localSheetId="12" hidden="1">#REF!</definedName>
    <definedName name="a" localSheetId="13" hidden="1">'[2]PRECIOS CE'!#REF!</definedName>
    <definedName name="a" localSheetId="14" hidden="1">'[2]PRECIOS CE'!#REF!</definedName>
    <definedName name="a" localSheetId="15" hidden="1">'[2]PRECIOS CE'!#REF!</definedName>
    <definedName name="a" localSheetId="16" hidden="1">'[2]PRECIOS CE'!#REF!</definedName>
    <definedName name="a" localSheetId="1" hidden="1">'[1]PRECIOS CE'!#REF!</definedName>
    <definedName name="a" localSheetId="2" hidden="1">'[3]PRECIOS CE'!#REF!</definedName>
    <definedName name="a" localSheetId="3" hidden="1">'[2]PRECIOS CE'!#REF!</definedName>
    <definedName name="a" localSheetId="4" hidden="1">'[1]PRECIOS CE'!#REF!</definedName>
    <definedName name="a" hidden="1">'[1]PRECIOS CE'!#REF!</definedName>
    <definedName name="_xlnm.Print_Area" localSheetId="0">'Indice ISC'!$A$1:$L$35</definedName>
    <definedName name="_xlnm.Print_Area" localSheetId="5">'Pág. 10'!$A$1:$F$38</definedName>
    <definedName name="_xlnm.Print_Area" localSheetId="6">'Pág. 11'!$A$1:$F$39</definedName>
    <definedName name="_xlnm.Print_Area" localSheetId="7">'Pág. 12'!$A$1:$F$18</definedName>
    <definedName name="_xlnm.Print_Area" localSheetId="8">'Pág. 13'!$B$1:$F$68</definedName>
    <definedName name="_xlnm.Print_Area" localSheetId="9">'Pág. 14'!$A$1:$N$81</definedName>
    <definedName name="_xlnm.Print_Area" localSheetId="10">'Pág. 15'!$A$1:$G$40</definedName>
    <definedName name="_xlnm.Print_Area" localSheetId="11">'Pág. 16'!$A$1:$N$90</definedName>
    <definedName name="_xlnm.Print_Area" localSheetId="12">'Pág. 17'!$A$1:$G$33</definedName>
    <definedName name="_xlnm.Print_Area" localSheetId="13">'Pág. 18'!$A$1:$H$53</definedName>
    <definedName name="_xlnm.Print_Area" localSheetId="14">'Pág. 19'!$A$1:$E$39</definedName>
    <definedName name="_xlnm.Print_Area" localSheetId="15">'Pág. 20'!$A$2:$K$32</definedName>
    <definedName name="_xlnm.Print_Area" localSheetId="16">'Pág. 21'!$A$1:$E$53</definedName>
    <definedName name="_xlnm.Print_Area" localSheetId="1">'Pág. 4'!$A$1:$G$70</definedName>
    <definedName name="_xlnm.Print_Area" localSheetId="2">'Pág. 5'!$A$1:$G$72</definedName>
    <definedName name="_xlnm.Print_Area" localSheetId="3">'Pág. 7'!$A$1:$G$73</definedName>
    <definedName name="_xlnm.Print_Area" localSheetId="4">'Pág. 9'!$A$1:$F$34</definedName>
    <definedName name="_xlnm.Print_Area">'[4]Email CCAA'!$B$3:$K$124</definedName>
    <definedName name="OLE_LINK1" localSheetId="1">'Pág. 4'!$E$62</definedName>
    <definedName name="OLE_LINK1" localSheetId="2">'Pág. 5'!$E$66</definedName>
    <definedName name="OLE_LINK1" localSheetId="3">'Pág. 7'!$E$69</definedName>
    <definedName name="PATATA" localSheetId="5">#REF!</definedName>
    <definedName name="PATATA" localSheetId="6">#REF!</definedName>
    <definedName name="PATATA" localSheetId="7">#REF!</definedName>
    <definedName name="PATATA" localSheetId="8">#REF!</definedName>
    <definedName name="PATATA" localSheetId="9">#REF!</definedName>
    <definedName name="PATATA" localSheetId="10">#REF!</definedName>
    <definedName name="PATATA" localSheetId="11">#REF!</definedName>
    <definedName name="PATATA" localSheetId="12">#REF!</definedName>
    <definedName name="PATATA" localSheetId="13">#REF!</definedName>
    <definedName name="PATATA" localSheetId="14">#REF!</definedName>
    <definedName name="PATATA" localSheetId="15">#REF!</definedName>
    <definedName name="PATATA" localSheetId="16">#REF!</definedName>
    <definedName name="PATATA" localSheetId="2">#REF!</definedName>
    <definedName name="PATATA" localSheetId="3">#REF!</definedName>
    <definedName name="PATATA" localSheetId="4">#REF!</definedName>
    <definedName name="PATATA">#REF!</definedName>
    <definedName name="ww" localSheetId="5" hidden="1">'[1]PRECIOS CE'!#REF!</definedName>
    <definedName name="ww" localSheetId="6" hidden="1">'[1]PRECIOS CE'!#REF!</definedName>
    <definedName name="ww" localSheetId="7" hidden="1">'[1]PRECIOS CE'!#REF!</definedName>
    <definedName name="ww" localSheetId="8" hidden="1">'[1]PRECIOS CE'!#REF!</definedName>
    <definedName name="ww" localSheetId="9" hidden="1">#REF!</definedName>
    <definedName name="ww" localSheetId="10" hidden="1">#REF!</definedName>
    <definedName name="ww" localSheetId="11" hidden="1">#REF!</definedName>
    <definedName name="ww" localSheetId="12" hidden="1">#REF!</definedName>
    <definedName name="ww" localSheetId="13" hidden="1">'[2]PRECIOS CE'!#REF!</definedName>
    <definedName name="ww" localSheetId="14" hidden="1">'[2]PRECIOS CE'!#REF!</definedName>
    <definedName name="ww" localSheetId="15" hidden="1">'[2]PRECIOS CE'!#REF!</definedName>
    <definedName name="ww" localSheetId="16" hidden="1">'[2]PRECIOS CE'!#REF!</definedName>
    <definedName name="ww" localSheetId="1" hidden="1">'[1]PRECIOS CE'!#REF!</definedName>
    <definedName name="ww" localSheetId="2" hidden="1">'[3]PRECIOS CE'!#REF!</definedName>
    <definedName name="ww" localSheetId="3" hidden="1">'[2]PRECIOS CE'!#REF!</definedName>
    <definedName name="ww" localSheetId="4" hidden="1">'[1]PRECIOS CE'!#REF!</definedName>
    <definedName name="ww" hidden="1">'[1]PRECIOS CE'!#REF!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14" l="1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F16" i="8"/>
  <c r="F15" i="8"/>
  <c r="F14" i="8"/>
  <c r="F12" i="8"/>
  <c r="F11" i="8"/>
  <c r="F10" i="8"/>
  <c r="F9" i="8"/>
</calcChain>
</file>

<file path=xl/sharedStrings.xml><?xml version="1.0" encoding="utf-8"?>
<sst xmlns="http://schemas.openxmlformats.org/spreadsheetml/2006/main" count="1983" uniqueCount="598">
  <si>
    <t>1. PRECIOS MEDIOS NACIONALES</t>
  </si>
  <si>
    <t xml:space="preserve">1.1. PRECIOS MEDIOS NACIONALES DE PRODUCTOS AGRÍCOLAS </t>
  </si>
  <si>
    <t>1.1.1. Precios Medios Nacionales de Cereales, Arroz, Oleaginosas, Tortas, Proteicos, Vinos y Aceites.</t>
  </si>
  <si>
    <t>PRODUCTOS AGRÍCOLAS</t>
  </si>
  <si>
    <t>Semana 01</t>
  </si>
  <si>
    <t>Semana 02</t>
  </si>
  <si>
    <t>Variación</t>
  </si>
  <si>
    <t>(especificaciones)</t>
  </si>
  <si>
    <t>29/12- 04/01</t>
  </si>
  <si>
    <t>05/01- 11/01</t>
  </si>
  <si>
    <t xml:space="preserve">semanal </t>
  </si>
  <si>
    <t>euros</t>
  </si>
  <si>
    <t>%</t>
  </si>
  <si>
    <t>CEREALES</t>
  </si>
  <si>
    <t>(1)</t>
  </si>
  <si>
    <t>Trigo blando (€/t)</t>
  </si>
  <si>
    <t>Trigo duro (€/t)</t>
  </si>
  <si>
    <t>Cebada pienso (€/t)</t>
  </si>
  <si>
    <t>Cebada malta (€/t)</t>
  </si>
  <si>
    <t xml:space="preserve">Maíz grano (€/t)                            </t>
  </si>
  <si>
    <t>ARROZ</t>
  </si>
  <si>
    <t>(2)</t>
  </si>
  <si>
    <t>Arroz cáscara japónica (€/t)</t>
  </si>
  <si>
    <t>Arroz cáscara índica (€/t)</t>
  </si>
  <si>
    <t>(3)</t>
  </si>
  <si>
    <t>Arroz blanco japónica (€/t)</t>
  </si>
  <si>
    <t>Arroz partido (€/t)</t>
  </si>
  <si>
    <t>SEMILLAS OLEAGINOSAS</t>
  </si>
  <si>
    <t>(4)</t>
  </si>
  <si>
    <t>Pipa de girasol alto oleico (€/t)</t>
  </si>
  <si>
    <t>Pipa de girasol convencional (€/t)</t>
  </si>
  <si>
    <t>Colza (€/t)</t>
  </si>
  <si>
    <t>TORTAS DE GIRASOL Y SOJA</t>
  </si>
  <si>
    <t>(9)</t>
  </si>
  <si>
    <t>Torta de girasol. 34%-36% proteina (€/t)</t>
  </si>
  <si>
    <t>Torta de soja. 44%-47% proteina (€/t)</t>
  </si>
  <si>
    <t>PROTEICOS</t>
  </si>
  <si>
    <t>(10)</t>
  </si>
  <si>
    <t>Alfalfa. Balas 1ª Cat. 16,5%-18% proteina (€/t)</t>
  </si>
  <si>
    <t>Alfalfa. Pellets estándar. 14%-16% proteina (€/t)</t>
  </si>
  <si>
    <t>Guisantes secos (€/t)</t>
  </si>
  <si>
    <t>Lentejas (€/t)</t>
  </si>
  <si>
    <t>Garbanzos (€/t)</t>
  </si>
  <si>
    <t>Habas secas (€/t)</t>
  </si>
  <si>
    <t xml:space="preserve">VINOS </t>
  </si>
  <si>
    <t>(5)</t>
  </si>
  <si>
    <t xml:space="preserve">Vino blanco sin DOP/IGP (€/hectolitro) </t>
  </si>
  <si>
    <t xml:space="preserve">Vino tinto sin DOP/IGP, 12 p. color (€/hectolitro) </t>
  </si>
  <si>
    <t>ACEITE DE OLIVA Y ORUJO</t>
  </si>
  <si>
    <t>(6)</t>
  </si>
  <si>
    <t xml:space="preserve">Aceite de oliva virgen extra &lt; 0,8º (€/100 kg)  </t>
  </si>
  <si>
    <t xml:space="preserve">Aceite de oliva virgen, de 0,8º a 2º (€/100 kg)  </t>
  </si>
  <si>
    <t>Aceite de oliva lampante &gt; 2º (€/100 kg)</t>
  </si>
  <si>
    <t>(7)</t>
  </si>
  <si>
    <t xml:space="preserve">Aceite de oliva refinado (€/100 kg) </t>
  </si>
  <si>
    <t>(8)</t>
  </si>
  <si>
    <t xml:space="preserve">Aceite de orujo de oliva crudo (€/100 kg) </t>
  </si>
  <si>
    <t xml:space="preserve">Aceite de orujo de oliva refinado (€/100 kg) </t>
  </si>
  <si>
    <t xml:space="preserve">ACEITE DE GIRASOL </t>
  </si>
  <si>
    <t>Aceite de girasol refinado convencional (€/100 kg)</t>
  </si>
  <si>
    <t>Aceite de girasol refinado alto oleico (€/100 kg)</t>
  </si>
  <si>
    <t>ACEITE DE SOJA</t>
  </si>
  <si>
    <t>Aceite refinado de soja (€/100 kg)</t>
  </si>
  <si>
    <r>
      <t>Posición comercial:</t>
    </r>
    <r>
      <rPr>
        <sz val="10"/>
        <rFont val="Verdana"/>
        <family val="2"/>
      </rPr>
      <t xml:space="preserve"> </t>
    </r>
  </si>
  <si>
    <t xml:space="preserve">(1) Salida de almacén cargado o entregado al transformador después de intermediario; (2) Granel sobre almacén agricultor/cooperativa </t>
  </si>
  <si>
    <t>(3) Salida granel industria; (4) Almacén comprador mayorista; (5) Salida bodega; (6) Salida almazara; (7) Salida industria refinadora</t>
  </si>
  <si>
    <t>(8) Salida industria extractora; (9) Salida industria molturadora; (10) Salida industria deshidratadora; (11) Entrada a entamadora</t>
  </si>
  <si>
    <t>COMENTARIOS DE MERCADO</t>
  </si>
  <si>
    <t>Subdirección General de Análisis, Coordinación y Estadística</t>
  </si>
  <si>
    <t>1.1.2. Precios Medios Nacionales en Origen de Frutas y Hortalizas</t>
  </si>
  <si>
    <t>29/12-04/01</t>
  </si>
  <si>
    <t>05/01-11/01</t>
  </si>
  <si>
    <t>FRUTAS</t>
  </si>
  <si>
    <t>Clementina (€/100 kg)</t>
  </si>
  <si>
    <t>Limón (€/100 kg)</t>
  </si>
  <si>
    <t>Mandarina (€/100 kg)</t>
  </si>
  <si>
    <t>Naranja Todas las variedades (€/100 kg)*</t>
  </si>
  <si>
    <t xml:space="preserve">     Naranja Grupo Blancas (€/100 kg)</t>
  </si>
  <si>
    <t xml:space="preserve">          Naranja Salustiana (€/100 kg)</t>
  </si>
  <si>
    <t xml:space="preserve">     Naranja Grupo Navel (€/100 kg)</t>
  </si>
  <si>
    <t xml:space="preserve">          Naranja Lanelate(€/100 kg)</t>
  </si>
  <si>
    <t xml:space="preserve">          Naranja Navel (€/100 kg)</t>
  </si>
  <si>
    <t xml:space="preserve">          Naranja Navelina (€/100 kg)</t>
  </si>
  <si>
    <t>Manzana Fuji (€/100 kg)*</t>
  </si>
  <si>
    <t>Manzana Gala (€/100 kg)*</t>
  </si>
  <si>
    <t>Manzana Golden (€/100 kg)*</t>
  </si>
  <si>
    <t>Manzana Granny Smith (€/100 kg)*</t>
  </si>
  <si>
    <t>Manzana Red Delicious y demás var. rojas (€/100 kg)*</t>
  </si>
  <si>
    <t>Pera Blanquilla (€/100 kg)</t>
  </si>
  <si>
    <t>Pera Conferencia (€/100 kg)</t>
  </si>
  <si>
    <t>Aguacate (€/100 kg)</t>
  </si>
  <si>
    <t>Plátano (€/100 kg)*</t>
  </si>
  <si>
    <t>HORTALIZAS</t>
  </si>
  <si>
    <t>Acelga (€/100 kg)</t>
  </si>
  <si>
    <t>Ajo (€/100 kg)</t>
  </si>
  <si>
    <t>Alcachofa (€/100 kg)</t>
  </si>
  <si>
    <t>Berenjena (€/100 kg)</t>
  </si>
  <si>
    <t>Brócoli (€/100 kg)</t>
  </si>
  <si>
    <t>Calabacín (€/100 kg)</t>
  </si>
  <si>
    <t>Cebolla (€/100 kg)</t>
  </si>
  <si>
    <t>Champiñón (€/100 kg)</t>
  </si>
  <si>
    <t>Coliflor (€/100 kg)</t>
  </si>
  <si>
    <t>Col repollo hoja lisa (€/100 kg)</t>
  </si>
  <si>
    <t>Escarola (€/100 ud)</t>
  </si>
  <si>
    <t>Espinaca (€/100 kg)</t>
  </si>
  <si>
    <t>Fresa (€/100 kg)</t>
  </si>
  <si>
    <t>-</t>
  </si>
  <si>
    <t>Haba verde (€/100 kg)</t>
  </si>
  <si>
    <t>Judía verde tipo plana (€/100 kg)</t>
  </si>
  <si>
    <t>Lechuga Romana (€/100 ud)</t>
  </si>
  <si>
    <t>Pepino (€/100 kg)</t>
  </si>
  <si>
    <t>Pimiento verde tipo italiano (€/100 kg)</t>
  </si>
  <si>
    <t>Puerro (€/100 kg)</t>
  </si>
  <si>
    <t>Tomate cereza (€/100 kg)*</t>
  </si>
  <si>
    <t>Tomate racimo (€/100 kg)*</t>
  </si>
  <si>
    <r>
      <t>Tomate redondo liso</t>
    </r>
    <r>
      <rPr>
        <vertAlign val="superscript"/>
        <sz val="11"/>
        <color indexed="8"/>
        <rFont val="Verdana"/>
        <family val="2"/>
      </rPr>
      <t xml:space="preserve"> </t>
    </r>
    <r>
      <rPr>
        <sz val="11"/>
        <color indexed="8"/>
        <rFont val="Verdana"/>
        <family val="2"/>
      </rPr>
      <t>(€/100 kg)*</t>
    </r>
  </si>
  <si>
    <t xml:space="preserve">Zanahoria (€/100 kg) </t>
  </si>
  <si>
    <t xml:space="preserve">Patata (€/100 kg) </t>
  </si>
  <si>
    <r>
      <t>Posición comercial:</t>
    </r>
    <r>
      <rPr>
        <sz val="11"/>
        <rFont val="Verdana"/>
        <family val="2"/>
      </rPr>
      <t xml:space="preserve"> </t>
    </r>
  </si>
  <si>
    <t>(1) Granel: En árbol, finca, almacén agricultor, alhóndiga, lonja, etc. En cítricos y uva de mesa, los precios se dan "en árbol" y "en cepa" respectivamente. Los precios del plátano, por las peculiaridades de su comercialización, son estimados a partir de las cotizaciones obtenidas y contrastadas por la organización de productores (OP), en la posición comercial "venta en verde al madurador".</t>
  </si>
  <si>
    <t>*Precios notificados a la Comisión Europea (art. 11 y anexo I.5.c del Reglamento de Ejecución (UE) 2017/1185).</t>
  </si>
  <si>
    <t>1.2. PRECIOS MEDIOS NACIONALES DE PRODUCTOS GANADEROS</t>
  </si>
  <si>
    <t>1.2.1. Precios Medios Nacionales de Productos Ganaderos</t>
  </si>
  <si>
    <t>PRODUCTOS GANADEROS</t>
  </si>
  <si>
    <t>VACUNO</t>
  </si>
  <si>
    <t>Ternera, 180-300 kilos (€/100 kg canal)</t>
  </si>
  <si>
    <t>Machos de 12 a 24 meses (Clase R) (€/100 kg canal)</t>
  </si>
  <si>
    <t>Animales de 8 a 12 meses (Clase R) ( (€/100 kg canal)</t>
  </si>
  <si>
    <t>Bovino vivo, conjunto categorías (€/100 kg vivo)</t>
  </si>
  <si>
    <t>CORDERO</t>
  </si>
  <si>
    <t>Cordero Ligero. Peso canal (&gt;10 y &lt;=13) kg (€/100 kg canal)</t>
  </si>
  <si>
    <t>Cordero Pesado. Peso canal (&gt;13 y &lt;=16) kg (€/100 kg canal)</t>
  </si>
  <si>
    <t>PORCINO</t>
  </si>
  <si>
    <t xml:space="preserve">Porcino &gt;60% magro (Clase S) (€/100 kg canal) </t>
  </si>
  <si>
    <t xml:space="preserve">Porcino 60-55% magro (Clase E) (€/100 kg canal) </t>
  </si>
  <si>
    <t xml:space="preserve">Porcino 55-50% magro (Clase U) (€/100 kg canal) </t>
  </si>
  <si>
    <t xml:space="preserve">Porcino 50-45% magro (Clase R) (€/100 kg canal) </t>
  </si>
  <si>
    <t>Lechón 20 kg (€/unidad)</t>
  </si>
  <si>
    <t>POLLO</t>
  </si>
  <si>
    <t xml:space="preserve">(2) </t>
  </si>
  <si>
    <t>Pollo, media de canales del 83% y 65% rdto. (€/100 kg canal)</t>
  </si>
  <si>
    <t xml:space="preserve">Pollo P10 (83% rdto.) (€/100 kg canal) </t>
  </si>
  <si>
    <t>Pollo P90 (65% rdto.) (€/100 kg canal)</t>
  </si>
  <si>
    <t>Pollo: Cuartos traseros (€/100 kg)</t>
  </si>
  <si>
    <t>Pollo: Filete de pechuga (€/100 kg)</t>
  </si>
  <si>
    <t xml:space="preserve">HUEVOS </t>
  </si>
  <si>
    <t>Huevos tipo jaula acondicionada, media Clase L y M (€/100 kg)</t>
  </si>
  <si>
    <t>Huevos tipo jaula acondicionada - Clase L (€/docena)</t>
  </si>
  <si>
    <t xml:space="preserve">Huevos tipo jaula acondicionada - Clase M (€/docena) </t>
  </si>
  <si>
    <t>Huevos tipo gallina suelta en gallinero, media Clase L y M (€/100 kg)</t>
  </si>
  <si>
    <t>Huevos tipo gallina suelta en gallinero - Clase L (€/docena)</t>
  </si>
  <si>
    <t xml:space="preserve">Huevos tipo gallina suelta en gallinero - Clase M (€/docena) </t>
  </si>
  <si>
    <t>Huevos tipo campero, media Clase L y M (€/100 kg)</t>
  </si>
  <si>
    <t>Huevos tipo campero - Mezcla Clase L y M (€/docena)</t>
  </si>
  <si>
    <t>Huevos Ecológicos, media Clase L y M (€/100 kg)</t>
  </si>
  <si>
    <t>Huevos Ecológicos - Clase L (€/docena)</t>
  </si>
  <si>
    <t xml:space="preserve">Huevos Ecológicos - Clase M (€/docena) </t>
  </si>
  <si>
    <t>CONEJO</t>
  </si>
  <si>
    <t>Conejo 1,8-2,2 kilo,vivo (€/100 kg)</t>
  </si>
  <si>
    <t>LECHE Y PRODUCTOS LÁCTEOS</t>
  </si>
  <si>
    <t>Suero de leche en polvo (€/100 kg)</t>
  </si>
  <si>
    <t>Mantequilla sin sal (formato 25 kg) (€/100 kg)</t>
  </si>
  <si>
    <t>Nata 30% materia grasa (a granel) (€/100 kg)</t>
  </si>
  <si>
    <t>Leche cruda de vaca (€/100 kg). Fuente: INFOLAC</t>
  </si>
  <si>
    <t>Precio noviembre 2025: 52,66 €/100 kg</t>
  </si>
  <si>
    <t>MIEL Y PRODUCTOS APÍCOLAS</t>
  </si>
  <si>
    <t>Miel multifloral a granel (€/100 kg)</t>
  </si>
  <si>
    <t>Precio noviembre 2025: 327,04 €/100 kg</t>
  </si>
  <si>
    <t>Miel multifloral envasada (€/100 kg)</t>
  </si>
  <si>
    <t>Precio noviembre 2025: 594,03 €/100 kg</t>
  </si>
  <si>
    <t>Polen a granel (€/100 kg)</t>
  </si>
  <si>
    <t>Precio noviembre 2025: 1.239,58 €/100 kg</t>
  </si>
  <si>
    <t>Polen envasado (€/100 kg)</t>
  </si>
  <si>
    <t>Precio noviembre 2025: 2.032,33 €/100 kg</t>
  </si>
  <si>
    <t xml:space="preserve">(1) Entrada matadero; (2) Salida muelle matadero; (3) Salida muelle centro de embalaje; (4) Salida granja; </t>
  </si>
  <si>
    <t>(5) Precio pagado al ganadero; (6) Precio franco fábrica sin impuestos ni costes; (7) Venta a la industria o mayorista</t>
  </si>
  <si>
    <t>2.- PRECIOS EN MERCADOS REPRESENTATIVOS DE CEREALES, ALFALFA, ARROZ, VINOS,  ACEITES Y SEMILLA DE GIRASOL</t>
  </si>
  <si>
    <t>2.1. PRECIOS EN MERCADOS REPRESENTATIVOS DE CEREALES, ALFALFA Y ARROZ</t>
  </si>
  <si>
    <t>2.1.1.  Precios Medios en Mercados Representativos: Trigo</t>
  </si>
  <si>
    <t>Precios en Euro/Tonelada</t>
  </si>
  <si>
    <t>REGLAMENTO (UE) 2017/1185 DE LA COMISION. Artículo 11, Anexo I. 1.</t>
  </si>
  <si>
    <t>TRIGO: Salida de almacén cargado o entregado al transformador después de intermediario. Mercancia nacional y/o importada.</t>
  </si>
  <si>
    <t>ALFALFA: Salida industria deshidratadora</t>
  </si>
  <si>
    <t xml:space="preserve">    PRODUCTO</t>
  </si>
  <si>
    <t>MERCADO
REPRESENTATIVO</t>
  </si>
  <si>
    <t>Semana 52
22/12-28/12
2025</t>
  </si>
  <si>
    <t>Semana 01
29/12-04/01
2025</t>
  </si>
  <si>
    <t>Variación
 €</t>
  </si>
  <si>
    <t xml:space="preserve">Trigo blando Consumo humano </t>
  </si>
  <si>
    <t xml:space="preserve">  Huesca</t>
  </si>
  <si>
    <t xml:space="preserve">  Lleida</t>
  </si>
  <si>
    <t xml:space="preserve">  Navarra</t>
  </si>
  <si>
    <t xml:space="preserve">  Segovia</t>
  </si>
  <si>
    <t xml:space="preserve">  Zaragoza</t>
  </si>
  <si>
    <t xml:space="preserve">Trigo blando Pienso </t>
  </si>
  <si>
    <t xml:space="preserve">  Burgos</t>
  </si>
  <si>
    <t xml:space="preserve">  Navarra </t>
  </si>
  <si>
    <t xml:space="preserve">  Palencia</t>
  </si>
  <si>
    <t xml:space="preserve">  Salamanca</t>
  </si>
  <si>
    <t xml:space="preserve">  Sevilla</t>
  </si>
  <si>
    <t xml:space="preserve">  Tarragona</t>
  </si>
  <si>
    <t xml:space="preserve">  Toledo</t>
  </si>
  <si>
    <t xml:space="preserve">  Valladolid</t>
  </si>
  <si>
    <t xml:space="preserve">  Zamora</t>
  </si>
  <si>
    <t>Trigo Duro</t>
  </si>
  <si>
    <t>2.1.2.  Precios Medios en Mercados Representativos: Cebada y maíz</t>
  </si>
  <si>
    <t>Salida de almacén cargado o entregado al transformador después de intermediario. Mercancia nacional y/o importada.</t>
  </si>
  <si>
    <t>Semana 02
05/01-11/01
2025</t>
  </si>
  <si>
    <t xml:space="preserve"> Cebada Pienso</t>
  </si>
  <si>
    <t xml:space="preserve">   Albacete</t>
  </si>
  <si>
    <t xml:space="preserve">   Burgos</t>
  </si>
  <si>
    <t xml:space="preserve">   Ciudad Real</t>
  </si>
  <si>
    <t xml:space="preserve">   Cuenca</t>
  </si>
  <si>
    <t xml:space="preserve">   Guadalajara</t>
  </si>
  <si>
    <t xml:space="preserve">   Huesca</t>
  </si>
  <si>
    <t xml:space="preserve">   León</t>
  </si>
  <si>
    <t xml:space="preserve">   Lérida</t>
  </si>
  <si>
    <t xml:space="preserve">   Murcia</t>
  </si>
  <si>
    <t xml:space="preserve">   Salamanca</t>
  </si>
  <si>
    <t xml:space="preserve">   Segovia</t>
  </si>
  <si>
    <t xml:space="preserve">   Soria</t>
  </si>
  <si>
    <t xml:space="preserve">   Teruel</t>
  </si>
  <si>
    <t xml:space="preserve">   Toledo</t>
  </si>
  <si>
    <t xml:space="preserve">   Valladolid</t>
  </si>
  <si>
    <t xml:space="preserve">   Zamora</t>
  </si>
  <si>
    <t xml:space="preserve">   Zaragoza</t>
  </si>
  <si>
    <t>Maiz Grano</t>
  </si>
  <si>
    <t xml:space="preserve">   Navarra</t>
  </si>
  <si>
    <t xml:space="preserve">   Sevilla</t>
  </si>
  <si>
    <t>2.1.3.  Precios Medios en Mercados Representativos: Arroz y alfalfa</t>
  </si>
  <si>
    <t>REGLAMENTO (UE) 2017/1185 DE LA COMISION. Artículo 11, Anexo I. 2. Arroz y artículo 12 (a), Anexo II.2 (alfalfa)</t>
  </si>
  <si>
    <t>Arroz cáscara precios salida almacén agricultor o en cooperativa, y arroz blanco precios salida industria</t>
  </si>
  <si>
    <t>PRODUCTO</t>
  </si>
  <si>
    <t>Arroz cáscara (Indica)</t>
  </si>
  <si>
    <t xml:space="preserve">   Cádiz</t>
  </si>
  <si>
    <t xml:space="preserve">   Valencia</t>
  </si>
  <si>
    <t>Arroz cáscara (Japónica)</t>
  </si>
  <si>
    <t xml:space="preserve">   Tarragona</t>
  </si>
  <si>
    <t>Arroz blanco (Japónica)</t>
  </si>
  <si>
    <t>Arroz partido</t>
  </si>
  <si>
    <t xml:space="preserve"> Alfalfa Balas</t>
  </si>
  <si>
    <t xml:space="preserve">   Córdoba</t>
  </si>
  <si>
    <t xml:space="preserve"> Alfalfa Pellets</t>
  </si>
  <si>
    <t>2.2. PRECIOS EN MERCADOS REPRESENTATIVOS DE VINOS</t>
  </si>
  <si>
    <t>R. EJECUCIÓN (UE)  2017/1185 DE LA COMISION. Artículo 11, Anexo II. 3.</t>
  </si>
  <si>
    <t>En €/hectólitro, salida bodega, a granel, pago al contado sin I. V. A.</t>
  </si>
  <si>
    <t>Vino Blanco sin DOP/IPG</t>
  </si>
  <si>
    <t>Vino Tinto sin DOP / IPG</t>
  </si>
  <si>
    <t>Precio de vino tinto referido al producto de 12 puntos de color</t>
  </si>
  <si>
    <t>--</t>
  </si>
  <si>
    <t>2.3. PRECIOS EN MERCADOS REPRESENTATIVOS DE ACEITES Y SEMILLAS DE GIRASOL</t>
  </si>
  <si>
    <t xml:space="preserve">           Aceites. Precios salida almazara/orujera/refinadora, en €/100 kg, sin I.V.A. Rgto. 2017/1185. Art.11. Anexo I.3.</t>
  </si>
  <si>
    <t xml:space="preserve"> Semilla de girasol. Precios en almacén del comprador mayorista, en €/t, sin I.V.A. Rgto 2017/1185. Art. 8</t>
  </si>
  <si>
    <t>PRODUCTO Y ESPECIFICACIONES</t>
  </si>
  <si>
    <t>ACEITE DE OLIVA VIRGEN EXTRA</t>
  </si>
  <si>
    <t>Menos de 0,8º</t>
  </si>
  <si>
    <t xml:space="preserve">   Almería</t>
  </si>
  <si>
    <t xml:space="preserve">   Badajoz</t>
  </si>
  <si>
    <t xml:space="preserve">   Granada</t>
  </si>
  <si>
    <t xml:space="preserve">   Huelva</t>
  </si>
  <si>
    <t xml:space="preserve">   Jaén</t>
  </si>
  <si>
    <t xml:space="preserve">   Málaga</t>
  </si>
  <si>
    <t xml:space="preserve">ACEITE DE OLIVA VIRGEN </t>
  </si>
  <si>
    <t>De 0,8º a 2º</t>
  </si>
  <si>
    <t>ACEITE DE OLIVA LAMPANTE</t>
  </si>
  <si>
    <t>ACEITE DE OLIVA REFINADO</t>
  </si>
  <si>
    <t xml:space="preserve">ACEITE DE ORUJO DE OLIVA CRUDO </t>
  </si>
  <si>
    <t>ACEITE DE ORUJO DE OLIVA REFINADO</t>
  </si>
  <si>
    <t>PIPA DE GIRASOL</t>
  </si>
  <si>
    <t xml:space="preserve">   Centro</t>
  </si>
  <si>
    <t>Alto oleico</t>
  </si>
  <si>
    <t xml:space="preserve">   Norte</t>
  </si>
  <si>
    <t xml:space="preserve">   Sur</t>
  </si>
  <si>
    <t>Convencional</t>
  </si>
  <si>
    <t>3.  PRECIOS DE PRODUCCIÓN DE FRUTAS Y HORTALIZAS EN EL MERCADO INTERIOR</t>
  </si>
  <si>
    <t>3.1. PRECIOS DE PRODUCCIÓN EN EL MERCADO INTERIOR FRUTAS</t>
  </si>
  <si>
    <t xml:space="preserve">3.1.1. Precios de Producción de Frutas en el Mercado Interior: </t>
  </si>
  <si>
    <t>Precios diarios y Precios Medios Ponderados Semanales en mercados representativos provinciales.</t>
  </si>
  <si>
    <t>Precios a la salida del centro de acondicionamiento de productos seleccionados, embalados y, en su caso, en palés (€/100 kg peso neto)</t>
  </si>
  <si>
    <t>CÍTRICOS</t>
  </si>
  <si>
    <t>MERCADO</t>
  </si>
  <si>
    <t xml:space="preserve">VARIEDAD </t>
  </si>
  <si>
    <t>CAT.</t>
  </si>
  <si>
    <t>CALIBRE</t>
  </si>
  <si>
    <t xml:space="preserve"> </t>
  </si>
  <si>
    <t>DIA/MES</t>
  </si>
  <si>
    <t>O TIPO</t>
  </si>
  <si>
    <t>PMPS</t>
  </si>
  <si>
    <t>CLEMENTINA</t>
  </si>
  <si>
    <t>Valencia</t>
  </si>
  <si>
    <t>Arrufatina</t>
  </si>
  <si>
    <t>I</t>
  </si>
  <si>
    <t>1x-3</t>
  </si>
  <si>
    <t>Castellón</t>
  </si>
  <si>
    <t>Clemenules</t>
  </si>
  <si>
    <t>Hernandina</t>
  </si>
  <si>
    <t>Huelva</t>
  </si>
  <si>
    <t>Todas las variedades</t>
  </si>
  <si>
    <t>Sevilla</t>
  </si>
  <si>
    <t>Tarragona</t>
  </si>
  <si>
    <t>LIMÓN</t>
  </si>
  <si>
    <t>Alicante</t>
  </si>
  <si>
    <t>Fino</t>
  </si>
  <si>
    <t>3-4</t>
  </si>
  <si>
    <t>Málaga</t>
  </si>
  <si>
    <t>Murcia</t>
  </si>
  <si>
    <t>MANDARINA</t>
  </si>
  <si>
    <t>Clemenvilla</t>
  </si>
  <si>
    <t>1-2</t>
  </si>
  <si>
    <t>Leanri</t>
  </si>
  <si>
    <t>1-3</t>
  </si>
  <si>
    <t>Nadorcott</t>
  </si>
  <si>
    <t>Tango</t>
  </si>
  <si>
    <t>Almería</t>
  </si>
  <si>
    <t>NARANJA</t>
  </si>
  <si>
    <t>Córdoba</t>
  </si>
  <si>
    <t>Navel</t>
  </si>
  <si>
    <t>3-6</t>
  </si>
  <si>
    <t>Navelate</t>
  </si>
  <si>
    <t>Navelina</t>
  </si>
  <si>
    <t>Salustiana</t>
  </si>
  <si>
    <t>Washington Navel</t>
  </si>
  <si>
    <t>FRUTAS DE PEPITA</t>
  </si>
  <si>
    <t>MANZANA</t>
  </si>
  <si>
    <t>Gerona</t>
  </si>
  <si>
    <t>Fuji</t>
  </si>
  <si>
    <t xml:space="preserve">65-80 </t>
  </si>
  <si>
    <t>Lérida</t>
  </si>
  <si>
    <t>Zaragoza</t>
  </si>
  <si>
    <t>Gala</t>
  </si>
  <si>
    <t>Golden Delicious</t>
  </si>
  <si>
    <t>Navarra</t>
  </si>
  <si>
    <t>Granny Smith</t>
  </si>
  <si>
    <t>Red Delicious</t>
  </si>
  <si>
    <t>Reineta</t>
  </si>
  <si>
    <t>PERA</t>
  </si>
  <si>
    <t>Blanquilla</t>
  </si>
  <si>
    <t xml:space="preserve">55-60 </t>
  </si>
  <si>
    <t>La Rioja</t>
  </si>
  <si>
    <t>Conferencia</t>
  </si>
  <si>
    <t>60-65+</t>
  </si>
  <si>
    <t>Ercolini</t>
  </si>
  <si>
    <t>50-59</t>
  </si>
  <si>
    <t>Williams</t>
  </si>
  <si>
    <t>OTRAS FRUTAS</t>
  </si>
  <si>
    <t>AGUACATE</t>
  </si>
  <si>
    <t>Granada</t>
  </si>
  <si>
    <t>Hass</t>
  </si>
  <si>
    <t>UVA DE MESA</t>
  </si>
  <si>
    <t>Aledo</t>
  </si>
  <si>
    <t>3.1.2. Precios de Producción de Frutas en el Mercado Interior: Precios Medios Ponderados Semanales Nacionales</t>
  </si>
  <si>
    <t xml:space="preserve">Referencia: Reglamento Delegado (UE) 2017/891 de la Comisión, de 13 de marzo (DOUE de 25 de mayo). Art. 55 y Anexo VI </t>
  </si>
  <si>
    <t>Precios a la salida del centro de acondicionamiento de productos seleccionados, embalados y, en su caso, en palés (€/100kg peso neto)</t>
  </si>
  <si>
    <t>PRECIO MEDIO PONDERADO SEMANAL NACIONAL</t>
  </si>
  <si>
    <t>Semana 2-2026: 5/1 - 11/1</t>
  </si>
  <si>
    <t>ESPAÑA</t>
  </si>
  <si>
    <t>mm</t>
  </si>
  <si>
    <t>Red Delicious y demás Var. Rojas</t>
  </si>
  <si>
    <t>65-75+</t>
  </si>
  <si>
    <t>Todas las variedades con pepitas</t>
  </si>
  <si>
    <t>3.2. PRECIOS DE PRODUCCIÓN EN EL MERCADO INTERIOR: PRODUCTOS HORTÍCOLAS</t>
  </si>
  <si>
    <t xml:space="preserve">3.2.1. Precios de Producción de Hortícolas en el Mercado Interior: </t>
  </si>
  <si>
    <t>ACELGA</t>
  </si>
  <si>
    <t>Madrid</t>
  </si>
  <si>
    <t>Todos los tipos y variedades</t>
  </si>
  <si>
    <t>AJO</t>
  </si>
  <si>
    <t>Ciudad Real</t>
  </si>
  <si>
    <t>Blanco</t>
  </si>
  <si>
    <t>50-60 mm</t>
  </si>
  <si>
    <t>Cuenca</t>
  </si>
  <si>
    <t>Morado</t>
  </si>
  <si>
    <t>50-80 mm</t>
  </si>
  <si>
    <t>Primavera</t>
  </si>
  <si>
    <t>ALCACHOFA</t>
  </si>
  <si>
    <t>APIO</t>
  </si>
  <si>
    <t>Verde</t>
  </si>
  <si>
    <t>BERENJENA</t>
  </si>
  <si>
    <t>40+/70+</t>
  </si>
  <si>
    <t>BRÓCOLI</t>
  </si>
  <si>
    <t>CALABACÍN</t>
  </si>
  <si>
    <t>14-21 g</t>
  </si>
  <si>
    <t>CEBOLLA</t>
  </si>
  <si>
    <t>Albacete</t>
  </si>
  <si>
    <t>40-80</t>
  </si>
  <si>
    <t>Ávila</t>
  </si>
  <si>
    <t>Toledo</t>
  </si>
  <si>
    <t>CHAMPIÑÓN</t>
  </si>
  <si>
    <t>Cerrado</t>
  </si>
  <si>
    <t>30-65 mm</t>
  </si>
  <si>
    <t>COLIFLOR</t>
  </si>
  <si>
    <t>Barcelona</t>
  </si>
  <si>
    <t>16-20 cm</t>
  </si>
  <si>
    <t>COL-REPOLLO</t>
  </si>
  <si>
    <t>Hoja lisa</t>
  </si>
  <si>
    <t>La Coruña</t>
  </si>
  <si>
    <t>Lugo</t>
  </si>
  <si>
    <t>Orense</t>
  </si>
  <si>
    <t>Pontevedra</t>
  </si>
  <si>
    <t>ESCAROLA</t>
  </si>
  <si>
    <t>ESPINACA</t>
  </si>
  <si>
    <t>JUDÍA VERDE</t>
  </si>
  <si>
    <t>Plana</t>
  </si>
  <si>
    <t>LECHUGA</t>
  </si>
  <si>
    <t>Baby</t>
  </si>
  <si>
    <t>Iceberg</t>
  </si>
  <si>
    <t>400g y+</t>
  </si>
  <si>
    <t>Romana</t>
  </si>
  <si>
    <t>PEPINO</t>
  </si>
  <si>
    <t>De Almeria</t>
  </si>
  <si>
    <t>350-500 g</t>
  </si>
  <si>
    <t>Español</t>
  </si>
  <si>
    <t>PIMIENTO</t>
  </si>
  <si>
    <t>Cuadrado color (rojo o amarillo)</t>
  </si>
  <si>
    <t>70 mm y +</t>
  </si>
  <si>
    <t>Cuadrado Verde</t>
  </si>
  <si>
    <t>Italiano Verde</t>
  </si>
  <si>
    <t>39 mm y +</t>
  </si>
  <si>
    <t>PUERRO</t>
  </si>
  <si>
    <t>TOMATE</t>
  </si>
  <si>
    <t>Cereza</t>
  </si>
  <si>
    <t>Racimo</t>
  </si>
  <si>
    <t>Redondo</t>
  </si>
  <si>
    <t>57-100mm</t>
  </si>
  <si>
    <t>ZANAHORIA</t>
  </si>
  <si>
    <t>Cádiz</t>
  </si>
  <si>
    <t>Segovia</t>
  </si>
  <si>
    <t>Valladolid</t>
  </si>
  <si>
    <t>3.2.2. Precios de Producción de Hortícolas en el Mercado Interior: Precios Medios Ponderados Semanales Nacionales</t>
  </si>
  <si>
    <t>14-21</t>
  </si>
  <si>
    <t>Medio (30-65 mm)</t>
  </si>
  <si>
    <t>400 g o superior</t>
  </si>
  <si>
    <t>PATATA</t>
  </si>
  <si>
    <t>35x35-75x75 mm</t>
  </si>
  <si>
    <t>Variedades lisas</t>
  </si>
  <si>
    <t>40 mm y +</t>
  </si>
  <si>
    <t>4. PRECIOS REPRESENTATIVOS DE PRODUCTOS GANADEROS</t>
  </si>
  <si>
    <t>4.1. PRECIOS REPRESENTATIVOS DE PRODUCTOS GANADEROS: BOVINO</t>
  </si>
  <si>
    <t>4.1.1.  Precios Medios Nacionales de Canales de Bovino Pesado</t>
  </si>
  <si>
    <t>PRECIO MEDIO NACIONAL ( €/100kg Canal) DE CANALES DE BOVINO PESADO SEGÚN MODELO COMUNITARIO</t>
  </si>
  <si>
    <t xml:space="preserve">   </t>
  </si>
  <si>
    <t>DE CLASIFICACIÓN   R 2017/1182, R 2017/1184, RD 815/2018  (Euro/100kg canal)</t>
  </si>
  <si>
    <t>CLASE DE CONFORMACIÓN Y</t>
  </si>
  <si>
    <t>Semana 01 (*)
29/12-04/01       2026</t>
  </si>
  <si>
    <t>Semana 02
05/01-11/01       2026</t>
  </si>
  <si>
    <t>CATEGORÍA</t>
  </si>
  <si>
    <t xml:space="preserve">DE ESTADO DE </t>
  </si>
  <si>
    <t>Variación €</t>
  </si>
  <si>
    <t>ENGRASAMIENTO</t>
  </si>
  <si>
    <t>Categoría A: Canales de machos jovenes sin castrar de más de un año y menos de dos</t>
  </si>
  <si>
    <t>Precio medio ponderado Categoría U</t>
  </si>
  <si>
    <t>Muy buena y poco cubierta (U-2)</t>
  </si>
  <si>
    <t>Muy buena y cubierta (U-3)</t>
  </si>
  <si>
    <t>Precio medio ponderado Categoría R</t>
  </si>
  <si>
    <t>Buena y poco cubierta (R-2)</t>
  </si>
  <si>
    <t>Buena y cubierta (R-3)</t>
  </si>
  <si>
    <t>Precio medio ponderado Categoría O</t>
  </si>
  <si>
    <t>Menos buena y poco cubierta (O-2)</t>
  </si>
  <si>
    <t>Menos buena y cubierta  (O-3)</t>
  </si>
  <si>
    <t>Categoría D: Canales de hembras que hayan parido</t>
  </si>
  <si>
    <t>Precio medio ponderado Categoría P</t>
  </si>
  <si>
    <t>Mediocre  y poco cubierta (P-2)</t>
  </si>
  <si>
    <t>Mediocre y cubierta  (P-3)</t>
  </si>
  <si>
    <t>Buena y grasa (R-4)</t>
  </si>
  <si>
    <t>Menos buena y cubierta (O-3)</t>
  </si>
  <si>
    <t>Menos buena y grasa (O-4)</t>
  </si>
  <si>
    <t>Categoría E: Canales de otras hembras ( de 12 meses o más)</t>
  </si>
  <si>
    <t xml:space="preserve">Menos buena y grasa (O-4) </t>
  </si>
  <si>
    <t>Categoría Z: Canales de animales desde 8 a menos de 12 meses</t>
  </si>
  <si>
    <t>(*) Precios actualizados</t>
  </si>
  <si>
    <t>4.1.2. Precios Medios Nacionales del Bovino Vivo</t>
  </si>
  <si>
    <t xml:space="preserve"> R 2017/1182, R 2017/1184 (Euro/100 kg vivo)</t>
  </si>
  <si>
    <t xml:space="preserve">  BOVINO VIVO</t>
  </si>
  <si>
    <t>Semana 01
29/12-04/01         2026</t>
  </si>
  <si>
    <t>Semana 02
05/01-11/01         2026</t>
  </si>
  <si>
    <t>Machos hasta 480 Kg. vivo</t>
  </si>
  <si>
    <t>Machos de más de 480 kg. vivo</t>
  </si>
  <si>
    <t>Hembras que hayan parido</t>
  </si>
  <si>
    <t>Otras hembras de hasta 380 Kg. vivo</t>
  </si>
  <si>
    <t>Otras hembras de más de 380 Kg. vivo</t>
  </si>
  <si>
    <t>4.1.3. Precios Medios Nacionales de Otros Animales de la Especie Bovina</t>
  </si>
  <si>
    <t xml:space="preserve">   OTROS BOVINOS </t>
  </si>
  <si>
    <t>TERNEROS DE 8 DÍAS A 4 SEMANA (Euro/cabeza)</t>
  </si>
  <si>
    <t>Macho frisón</t>
  </si>
  <si>
    <t>Macho cruzado</t>
  </si>
  <si>
    <t>Hembra frisón</t>
  </si>
  <si>
    <t>Hembra cruzado</t>
  </si>
  <si>
    <t xml:space="preserve">Media ponderada nacional (Euro/Cabeza)     </t>
  </si>
  <si>
    <t>TERNEROS DE 6 HASTA 12 MESES (Euro/100kg vivo)</t>
  </si>
  <si>
    <t>Macho frisón (base 200 kg)</t>
  </si>
  <si>
    <t>Macho cruzado (base 200 kg)</t>
  </si>
  <si>
    <t>Hembra frisón (base 200 kg)</t>
  </si>
  <si>
    <t>Hembra cruzado (base 200 kg)</t>
  </si>
  <si>
    <t xml:space="preserve">Media ponderada nacional (Euro/100kg vivo)        </t>
  </si>
  <si>
    <t>4.2. PRECIOS REPRESENTATIVOS DE PRODUCTOS GANADEROS: OVINO</t>
  </si>
  <si>
    <t xml:space="preserve"> 4.2.1. Precios Medios Nacionales de Canales de Ovino Frescas o Refrigeradas</t>
  </si>
  <si>
    <t>R 2017/1182, R 2017/1184 (Euro/100 kg canal)</t>
  </si>
  <si>
    <t>CANALES DE CORDEROS</t>
  </si>
  <si>
    <t>Peso canal (&lt;=7) kg</t>
  </si>
  <si>
    <t>Peso canal (&gt;7 y &lt;=10) kg</t>
  </si>
  <si>
    <t>Peso canal (&gt;10 y &lt;=13) kg</t>
  </si>
  <si>
    <t>Peso canal (&gt;13 y &lt;=16) kg</t>
  </si>
  <si>
    <t>Peso canal (&gt;16) kg</t>
  </si>
  <si>
    <t>Reproductores</t>
  </si>
  <si>
    <t>- 14 -</t>
  </si>
  <si>
    <t xml:space="preserve">4.3. PRECIOS  REPRESENTATIVOS DE PRODUCTOS GANADEROS: PORCINO </t>
  </si>
  <si>
    <t xml:space="preserve"> 4.3.1. Precios Medios de Canales de Porcino de Capa Blanca</t>
  </si>
  <si>
    <t xml:space="preserve"> CLASIFICACIÓN EUROP R 2017/1182, R 2017/1184 (Euro/100kg canal)</t>
  </si>
  <si>
    <t/>
  </si>
  <si>
    <t>Clase S ( &gt;60% contenido magro)</t>
  </si>
  <si>
    <t xml:space="preserve">Clase E (60%-55% contenido magro) </t>
  </si>
  <si>
    <t xml:space="preserve">Clase U (55%-50% contenido magro) </t>
  </si>
  <si>
    <t>Semana 01
29/12-04/01       2026</t>
  </si>
  <si>
    <t>Variación 
 €</t>
  </si>
  <si>
    <t>PRECIO MEDIO NACIONAL</t>
  </si>
  <si>
    <t xml:space="preserve">Clase R (50%-45% contenido magro) </t>
  </si>
  <si>
    <t xml:space="preserve">Clase O (45%-40% contenido magro) </t>
  </si>
  <si>
    <t>Clase P ( &lt;40% contenido magro)</t>
  </si>
  <si>
    <t>4.3.2. Precios Medios en Mercados Representativos Provinciales de Porcino Cebado (*)</t>
  </si>
  <si>
    <t>MERCADO REPRESENTATIVO</t>
  </si>
  <si>
    <t>SELECTO (nivel menor de grasa)</t>
  </si>
  <si>
    <t>NORMAL (nivel normal de grasa)</t>
  </si>
  <si>
    <t>GRASO (nivel mayor de grasa)</t>
  </si>
  <si>
    <t xml:space="preserve">    Barcelona</t>
  </si>
  <si>
    <t xml:space="preserve">    Huesca</t>
  </si>
  <si>
    <t xml:space="preserve">    Lleida</t>
  </si>
  <si>
    <t xml:space="preserve">    Murcia</t>
  </si>
  <si>
    <t xml:space="preserve">    Pontevedra</t>
  </si>
  <si>
    <t xml:space="preserve">    Salamanca</t>
  </si>
  <si>
    <t xml:space="preserve">    Segovia</t>
  </si>
  <si>
    <t xml:space="preserve">    Zaragoza</t>
  </si>
  <si>
    <t>(*) En Euro/kg vivo</t>
  </si>
  <si>
    <t>4.3.3. Precios Medios de Porcino Precoz, Lechones y Otras Calidades</t>
  </si>
  <si>
    <t xml:space="preserve">  (Euro/100kg vivo)</t>
  </si>
  <si>
    <t>CERDAS DE DESVIEJE</t>
  </si>
  <si>
    <t>Semana 01
29/12-04/01        2026</t>
  </si>
  <si>
    <t>Semana 02
05/01-11/01        2026</t>
  </si>
  <si>
    <t>Cerdas de Desvieje</t>
  </si>
  <si>
    <t>CERDOS CEBADOS</t>
  </si>
  <si>
    <t>Categoría U</t>
  </si>
  <si>
    <t>LECHONES</t>
  </si>
  <si>
    <t>Lleida.Base 20kg de peso.</t>
  </si>
  <si>
    <t>Segovia.Base 20kg de peso.</t>
  </si>
  <si>
    <t>Media nacional. Calidad Normal. Base 20 kg de peso</t>
  </si>
  <si>
    <t>4.3.4. Precios Medios de Porcino: Tronco Ibérico</t>
  </si>
  <si>
    <t>TOSTONES</t>
  </si>
  <si>
    <t>De 5 a 9 kilos</t>
  </si>
  <si>
    <t>De 9 a 12 kilos</t>
  </si>
  <si>
    <t>Lechón Ibérico Cruzado Base 23 kg</t>
  </si>
  <si>
    <t>MARRANOS</t>
  </si>
  <si>
    <t>Marranos Ibéricos de 35 a 60 kg</t>
  </si>
  <si>
    <t>PRIMALES</t>
  </si>
  <si>
    <t>Primales Ibéricos de 60 a 100 kg</t>
  </si>
  <si>
    <t>CERDO CEBADO</t>
  </si>
  <si>
    <t>Cerdo Cebado (Intensivo)</t>
  </si>
  <si>
    <t>Cerdo Cebado de Campo (Extensivo)</t>
  </si>
  <si>
    <t>Cerdo Cebado de Bellota 100% Ibérico</t>
  </si>
  <si>
    <t>DESVIEJE</t>
  </si>
  <si>
    <t xml:space="preserve">Reproductores de desvieje </t>
  </si>
  <si>
    <t>REPRODUCTORES</t>
  </si>
  <si>
    <t>Reproductores &gt;6 meses</t>
  </si>
  <si>
    <t>CASTRONAS</t>
  </si>
  <si>
    <t>Castronas</t>
  </si>
  <si>
    <t>Denominaciones de acuerdo con la Norma de Calidad (RD 4/2014)</t>
  </si>
  <si>
    <t>Para información sobre precios de productos agrícolas y ganaderos en otros Estados Miembros de la UE:</t>
  </si>
  <si>
    <t>https://agridata.ec.europa.eu/extensions/DataPortal/prices.html</t>
  </si>
  <si>
    <t>ÍNDICE</t>
  </si>
  <si>
    <t>1.       PRECIOS MEDIOS NACIONALES</t>
  </si>
  <si>
    <t>1.1.  PRECIOS MEDIOS NACIONALES DE PRODUCTOS AGRÍCOLAS</t>
  </si>
  <si>
    <t>1.1.1.         Precios Medios Nacionales de Cereales, Arroz, Oleaginosas, Tortas, Proteicos, Vinos y Aceites.</t>
  </si>
  <si>
    <t>1.2.  PRECIOS MEDIOS NACIONALES DE PRODUCTOS GANADEROS</t>
  </si>
  <si>
    <t>1.2.1.         Precios Medios Nacionales de Productos Ganaderos</t>
  </si>
  <si>
    <t>2.       PRECIOS EN MERCADOS REPRESENTATIVOS DE CEREALES, ALFALFA, ARROZ, VINOS,  ACEITES Y SEMILLA DE GIRASOL</t>
  </si>
  <si>
    <t>2.1.  Precios Medios en Mercados Representativos de Cereales, Alfalfa y Arroz</t>
  </si>
  <si>
    <t>3.       PRECIOS DE PRODUCCIÓN DE FRUTAS Y HORTALIZAS EN EL MERCADO INTERIOR</t>
  </si>
  <si>
    <t>3.1.  PRECIOS DE PRODUCCIÓN EN EL MERCADO INTERIOR: FRUTAS</t>
  </si>
  <si>
    <t>3.1.1.         Precios de Producción de Frutas en el Mercado Interior: Precios diarios y Precios Medios Ponderados Semanales en mercados representativos</t>
  </si>
  <si>
    <t>3.2.  PRECIOS DE PRODUCCIÓN EN EL MERCADO INTERIOR: PRODUCTOS HORTÍCOLAS</t>
  </si>
  <si>
    <t>3.2.1.         Precios de Producción de Productos Hortícolas en el Mercado Interior: Precios diarios y Precios Medios Ponderados Semanales en mercados</t>
  </si>
  <si>
    <t>3.2.2.         Precios de Producción de Productos Hortícolas en el Mercado Interior: Precios Medios Ponderados Semanales Nacionales</t>
  </si>
  <si>
    <t>4.       PRECIOS REPRESENTATIVOS DE PRODUCTOS GANADEROS</t>
  </si>
  <si>
    <t>4.1.  PRECIOS REPRESENTATIVOS DE PRODUCTOS GANADEROS: BOVINO</t>
  </si>
  <si>
    <t>4.2.  PRECIOS REPRESENTATIVOS DE PRODUCTOS GANADEROS: OVINO</t>
  </si>
  <si>
    <t>4.2.1.         Precios Medios Nacionales de Canales de Ovino Frescas o Refrigeradas</t>
  </si>
  <si>
    <t>4.3.  PRECIOS REPRESENTATIVOS DE PRODUCTOS GANADEROS: PORCINO</t>
  </si>
  <si>
    <t>4.3.1.         Precios Medios de Canales de Porcino de Capa Blanca</t>
  </si>
  <si>
    <t>4.3.2.         Precios Medios en Mercados Representativos Provinciales de Porcino Cebado</t>
  </si>
  <si>
    <t>4.3.3.         Precios Medios de Porcino Precoz, Lechones y Otras Calidades</t>
  </si>
  <si>
    <t>4.3.4.         Precios Medios de Porcino: Tronco Ibérico</t>
  </si>
  <si>
    <t>1.1.2.         Precios Medios Nacionales en Origen de Frutas y Hortalízas</t>
  </si>
  <si>
    <t>2.2.         Precios Medios en Mercados Representativos de Vinos</t>
  </si>
  <si>
    <t>2.3.         Precios Medios en Mercados Representativos de Aceites y Semilla de Girasol</t>
  </si>
  <si>
    <t>3.1.2.         Precios de Producción de Frutas en el Mercado Interior: Precios diarios y Precios Medios Ponderados Semanales en mercados representativos</t>
  </si>
  <si>
    <t>4.1.1.         Precios Medios Nacionales de Canales de Bovino Pesado</t>
  </si>
  <si>
    <t>4.1.2.         Precios Medios Nacionales del Bovino Vivo</t>
  </si>
  <si>
    <t>4.1.3.         Precios Medios Nacionales de Otros Animales de la Especie Bovina</t>
  </si>
  <si>
    <t>2.1.1.         Precios Medios en Mercados Representativos: Trigo</t>
  </si>
  <si>
    <t>2.1.2.         Precios Medios en Mercados Representativos: Cebada y Maíz</t>
  </si>
  <si>
    <t>2.1.3.         Precios Medios en Mercados Representativos: Arroz y Alfalfa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</si>
</sst>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 ;[Red]\-0.00\ "/>
    <numFmt numFmtId="165" formatCode="General_)"/>
    <numFmt numFmtId="166" formatCode="0.00_)"/>
    <numFmt numFmtId="167" formatCode="d/m"/>
  </numFmts>
  <fonts count="5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Verdana"/>
      <family val="2"/>
    </font>
    <font>
      <b/>
      <sz val="14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1"/>
      <color indexed="8"/>
      <name val="Verdana"/>
      <family val="2"/>
    </font>
    <font>
      <sz val="10"/>
      <name val="Verdana"/>
      <family val="2"/>
    </font>
    <font>
      <b/>
      <sz val="16"/>
      <name val="Verdana"/>
      <family val="2"/>
    </font>
    <font>
      <b/>
      <sz val="10"/>
      <name val="Verdana"/>
      <family val="2"/>
    </font>
    <font>
      <sz val="8"/>
      <name val="Verdana"/>
      <family val="2"/>
    </font>
    <font>
      <vertAlign val="superscript"/>
      <sz val="11"/>
      <color indexed="8"/>
      <name val="Verdana"/>
      <family val="2"/>
    </font>
    <font>
      <i/>
      <sz val="10"/>
      <name val="Verdana"/>
      <family val="2"/>
    </font>
    <font>
      <sz val="10"/>
      <color theme="1"/>
      <name val="Verdana"/>
      <family val="2"/>
    </font>
    <font>
      <b/>
      <sz val="9"/>
      <color indexed="8"/>
      <name val="Verdana"/>
      <family val="2"/>
    </font>
    <font>
      <b/>
      <sz val="12"/>
      <color indexed="8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b/>
      <sz val="8"/>
      <color indexed="8"/>
      <name val="Verdana"/>
      <family val="2"/>
    </font>
    <font>
      <sz val="14"/>
      <name val="Verdana"/>
      <family val="2"/>
    </font>
    <font>
      <sz val="12"/>
      <name val="Verdana"/>
      <family val="2"/>
    </font>
    <font>
      <sz val="18"/>
      <name val="Verdana"/>
      <family val="2"/>
    </font>
    <font>
      <sz val="16"/>
      <name val="Verdana"/>
      <family val="2"/>
    </font>
    <font>
      <sz val="8"/>
      <color rgb="FFFF0000"/>
      <name val="Verdana"/>
      <family val="2"/>
    </font>
    <font>
      <b/>
      <sz val="8"/>
      <name val="Verdana"/>
      <family val="2"/>
    </font>
    <font>
      <b/>
      <sz val="7"/>
      <name val="Verdana"/>
      <family val="2"/>
    </font>
    <font>
      <sz val="9"/>
      <color indexed="8"/>
      <name val="Verdana"/>
      <family val="2"/>
    </font>
    <font>
      <sz val="10"/>
      <color indexed="8"/>
      <name val="SansSerif"/>
    </font>
    <font>
      <sz val="9"/>
      <color theme="1"/>
      <name val="Verdana"/>
      <family val="2"/>
    </font>
    <font>
      <sz val="14"/>
      <color theme="1"/>
      <name val="Aptos Narrow"/>
      <family val="2"/>
      <scheme val="minor"/>
    </font>
    <font>
      <sz val="10"/>
      <name val="Comic Sans MS"/>
      <family val="4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Helv"/>
    </font>
    <font>
      <b/>
      <sz val="16"/>
      <name val="Times New Roman"/>
      <family val="1"/>
    </font>
    <font>
      <i/>
      <sz val="11"/>
      <name val="Verdana"/>
      <family val="2"/>
    </font>
    <font>
      <sz val="11"/>
      <name val="Comic Sans MS"/>
      <family val="4"/>
    </font>
    <font>
      <b/>
      <sz val="10"/>
      <name val="Arial"/>
      <family val="2"/>
    </font>
    <font>
      <i/>
      <sz val="9"/>
      <name val="Verdana"/>
      <family val="2"/>
    </font>
    <font>
      <b/>
      <i/>
      <sz val="9"/>
      <name val="Verdana"/>
      <family val="2"/>
    </font>
    <font>
      <sz val="8"/>
      <name val="Times New Roman"/>
      <family val="1"/>
    </font>
    <font>
      <b/>
      <sz val="8"/>
      <name val="Times New Roman"/>
      <family val="1"/>
    </font>
    <font>
      <u/>
      <sz val="11"/>
      <color theme="10"/>
      <name val="Aptos Narrow"/>
      <family val="2"/>
      <scheme val="minor"/>
    </font>
    <font>
      <b/>
      <u/>
      <sz val="9"/>
      <name val="Verdana"/>
      <family val="2"/>
    </font>
    <font>
      <u/>
      <sz val="6"/>
      <color indexed="12"/>
      <name val="Helv"/>
    </font>
    <font>
      <u/>
      <sz val="11"/>
      <color theme="4" tint="-0.249977111117893"/>
      <name val="Verdana"/>
      <family val="2"/>
    </font>
    <font>
      <u/>
      <sz val="10"/>
      <color theme="10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indexed="50"/>
        <bgColor indexed="9"/>
      </patternFill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9900"/>
        <bgColor indexed="9"/>
      </patternFill>
    </fill>
    <fill>
      <patternFill patternType="solid">
        <fgColor rgb="FFFF9900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DDD9C4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rgb="FFDDD9C4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16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64"/>
      </right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64"/>
      </bottom>
      <diagonal/>
    </border>
    <border>
      <left/>
      <right style="medium">
        <color indexed="64"/>
      </right>
      <top style="medium">
        <color indexed="8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 applyNumberFormat="0" applyFont="0" applyFill="0" applyBorder="0" applyAlignment="0" applyProtection="0"/>
    <xf numFmtId="0" fontId="1" fillId="0" borderId="0"/>
    <xf numFmtId="0" fontId="33" fillId="0" borderId="0"/>
    <xf numFmtId="165" fontId="36" fillId="0" borderId="0"/>
    <xf numFmtId="0" fontId="3" fillId="0" borderId="0"/>
    <xf numFmtId="0" fontId="45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</cellStyleXfs>
  <cellXfs count="757">
    <xf numFmtId="0" fontId="0" fillId="0" borderId="0" xfId="0"/>
    <xf numFmtId="0" fontId="4" fillId="0" borderId="0" xfId="2" applyFont="1"/>
    <xf numFmtId="0" fontId="5" fillId="0" borderId="0" xfId="2" applyFont="1" applyAlignment="1">
      <alignment horizontal="left"/>
    </xf>
    <xf numFmtId="0" fontId="6" fillId="0" borderId="0" xfId="2" quotePrefix="1" applyFont="1" applyAlignment="1">
      <alignment horizontal="right"/>
    </xf>
    <xf numFmtId="0" fontId="7" fillId="0" borderId="0" xfId="2" applyFont="1" applyAlignment="1">
      <alignment horizontal="left" vertical="center" wrapText="1"/>
    </xf>
    <xf numFmtId="0" fontId="8" fillId="0" borderId="4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center"/>
    </xf>
    <xf numFmtId="0" fontId="8" fillId="0" borderId="7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14" fontId="8" fillId="0" borderId="10" xfId="2" quotePrefix="1" applyNumberFormat="1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0" fontId="8" fillId="0" borderId="10" xfId="2" quotePrefix="1" applyFont="1" applyBorder="1" applyAlignment="1">
      <alignment horizontal="center" vertical="center"/>
    </xf>
    <xf numFmtId="0" fontId="8" fillId="0" borderId="13" xfId="2" applyFont="1" applyBorder="1" applyAlignment="1">
      <alignment horizontal="center" vertical="center" wrapText="1"/>
    </xf>
    <xf numFmtId="0" fontId="8" fillId="0" borderId="14" xfId="2" applyFont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/>
    </xf>
    <xf numFmtId="0" fontId="8" fillId="2" borderId="2" xfId="2" applyFont="1" applyFill="1" applyBorder="1" applyAlignment="1">
      <alignment horizontal="center" vertical="center"/>
    </xf>
    <xf numFmtId="14" fontId="6" fillId="3" borderId="2" xfId="2" quotePrefix="1" applyNumberFormat="1" applyFont="1" applyFill="1" applyBorder="1" applyAlignment="1">
      <alignment horizontal="center"/>
    </xf>
    <xf numFmtId="0" fontId="9" fillId="2" borderId="2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49" fontId="4" fillId="4" borderId="15" xfId="2" applyNumberFormat="1" applyFont="1" applyFill="1" applyBorder="1" applyAlignment="1">
      <alignment horizontal="center" vertical="center"/>
    </xf>
    <xf numFmtId="0" fontId="9" fillId="4" borderId="16" xfId="2" applyFont="1" applyFill="1" applyBorder="1" applyAlignment="1">
      <alignment horizontal="left" vertical="center"/>
    </xf>
    <xf numFmtId="4" fontId="4" fillId="4" borderId="17" xfId="2" applyNumberFormat="1" applyFont="1" applyFill="1" applyBorder="1" applyAlignment="1">
      <alignment horizontal="center" vertical="center"/>
    </xf>
    <xf numFmtId="2" fontId="4" fillId="4" borderId="10" xfId="2" applyNumberFormat="1" applyFont="1" applyFill="1" applyBorder="1" applyAlignment="1">
      <alignment horizontal="center" vertical="center"/>
    </xf>
    <xf numFmtId="2" fontId="4" fillId="4" borderId="12" xfId="2" applyNumberFormat="1" applyFont="1" applyFill="1" applyBorder="1" applyAlignment="1">
      <alignment horizontal="center" vertical="center"/>
    </xf>
    <xf numFmtId="0" fontId="4" fillId="4" borderId="17" xfId="2" applyFont="1" applyFill="1" applyBorder="1" applyAlignment="1">
      <alignment horizontal="center" vertical="center"/>
    </xf>
    <xf numFmtId="4" fontId="6" fillId="3" borderId="2" xfId="2" quotePrefix="1" applyNumberFormat="1" applyFont="1" applyFill="1" applyBorder="1" applyAlignment="1">
      <alignment horizontal="center"/>
    </xf>
    <xf numFmtId="2" fontId="9" fillId="2" borderId="2" xfId="2" applyNumberFormat="1" applyFont="1" applyFill="1" applyBorder="1" applyAlignment="1">
      <alignment horizontal="center" vertical="center" wrapText="1"/>
    </xf>
    <xf numFmtId="2" fontId="8" fillId="2" borderId="3" xfId="2" applyNumberFormat="1" applyFont="1" applyFill="1" applyBorder="1" applyAlignment="1">
      <alignment horizontal="center" vertical="center" wrapText="1"/>
    </xf>
    <xf numFmtId="49" fontId="4" fillId="4" borderId="15" xfId="2" quotePrefix="1" applyNumberFormat="1" applyFont="1" applyFill="1" applyBorder="1" applyAlignment="1">
      <alignment horizontal="center" vertical="center"/>
    </xf>
    <xf numFmtId="0" fontId="9" fillId="0" borderId="16" xfId="2" applyFont="1" applyBorder="1" applyAlignment="1">
      <alignment horizontal="left" vertical="center"/>
    </xf>
    <xf numFmtId="2" fontId="4" fillId="4" borderId="17" xfId="2" applyNumberFormat="1" applyFont="1" applyFill="1" applyBorder="1" applyAlignment="1">
      <alignment horizontal="center" vertical="center"/>
    </xf>
    <xf numFmtId="4" fontId="4" fillId="3" borderId="2" xfId="2" quotePrefix="1" applyNumberFormat="1" applyFont="1" applyFill="1" applyBorder="1" applyAlignment="1">
      <alignment horizontal="center"/>
    </xf>
    <xf numFmtId="2" fontId="9" fillId="2" borderId="3" xfId="2" applyNumberFormat="1" applyFont="1" applyFill="1" applyBorder="1" applyAlignment="1">
      <alignment horizontal="center" vertical="center" wrapText="1"/>
    </xf>
    <xf numFmtId="0" fontId="9" fillId="4" borderId="18" xfId="2" applyFont="1" applyFill="1" applyBorder="1" applyAlignment="1">
      <alignment horizontal="left" vertical="center"/>
    </xf>
    <xf numFmtId="4" fontId="4" fillId="4" borderId="11" xfId="2" applyNumberFormat="1" applyFont="1" applyFill="1" applyBorder="1" applyAlignment="1">
      <alignment horizontal="center" vertical="center"/>
    </xf>
    <xf numFmtId="4" fontId="4" fillId="0" borderId="0" xfId="2" applyNumberFormat="1" applyFont="1"/>
    <xf numFmtId="49" fontId="4" fillId="4" borderId="9" xfId="2" quotePrefix="1" applyNumberFormat="1" applyFont="1" applyFill="1" applyBorder="1" applyAlignment="1">
      <alignment horizontal="center" vertical="center"/>
    </xf>
    <xf numFmtId="0" fontId="9" fillId="4" borderId="19" xfId="2" applyFont="1" applyFill="1" applyBorder="1" applyAlignment="1">
      <alignment horizontal="left" vertical="center"/>
    </xf>
    <xf numFmtId="4" fontId="4" fillId="0" borderId="19" xfId="2" applyNumberFormat="1" applyFont="1" applyBorder="1" applyAlignment="1">
      <alignment horizontal="center" vertical="center"/>
    </xf>
    <xf numFmtId="0" fontId="9" fillId="4" borderId="20" xfId="2" applyFont="1" applyFill="1" applyBorder="1" applyAlignment="1">
      <alignment horizontal="left" vertical="center"/>
    </xf>
    <xf numFmtId="4" fontId="4" fillId="4" borderId="20" xfId="2" applyNumberFormat="1" applyFont="1" applyFill="1" applyBorder="1" applyAlignment="1">
      <alignment horizontal="center" vertical="center"/>
    </xf>
    <xf numFmtId="0" fontId="9" fillId="4" borderId="21" xfId="2" applyFont="1" applyFill="1" applyBorder="1" applyAlignment="1">
      <alignment horizontal="left" vertical="center"/>
    </xf>
    <xf numFmtId="0" fontId="9" fillId="4" borderId="10" xfId="2" applyFont="1" applyFill="1" applyBorder="1" applyAlignment="1">
      <alignment horizontal="left" vertical="center"/>
    </xf>
    <xf numFmtId="4" fontId="4" fillId="4" borderId="16" xfId="2" applyNumberFormat="1" applyFont="1" applyFill="1" applyBorder="1" applyAlignment="1">
      <alignment horizontal="center" vertical="center"/>
    </xf>
    <xf numFmtId="0" fontId="9" fillId="4" borderId="22" xfId="2" applyFont="1" applyFill="1" applyBorder="1" applyAlignment="1">
      <alignment horizontal="left" vertical="center"/>
    </xf>
    <xf numFmtId="4" fontId="4" fillId="4" borderId="22" xfId="2" applyNumberFormat="1" applyFont="1" applyFill="1" applyBorder="1" applyAlignment="1">
      <alignment horizontal="center" vertical="center"/>
    </xf>
    <xf numFmtId="49" fontId="4" fillId="3" borderId="1" xfId="2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4" fontId="4" fillId="3" borderId="2" xfId="2" applyNumberFormat="1" applyFont="1" applyFill="1" applyBorder="1" applyAlignment="1">
      <alignment horizontal="center" vertical="center"/>
    </xf>
    <xf numFmtId="2" fontId="4" fillId="3" borderId="2" xfId="2" applyNumberFormat="1" applyFont="1" applyFill="1" applyBorder="1" applyAlignment="1">
      <alignment horizontal="center" vertical="center"/>
    </xf>
    <xf numFmtId="2" fontId="9" fillId="3" borderId="3" xfId="2" applyNumberFormat="1" applyFont="1" applyFill="1" applyBorder="1" applyAlignment="1">
      <alignment horizontal="center" vertical="center"/>
    </xf>
    <xf numFmtId="49" fontId="4" fillId="4" borderId="23" xfId="2" applyNumberFormat="1" applyFont="1" applyFill="1" applyBorder="1" applyAlignment="1">
      <alignment horizontal="center" vertical="center"/>
    </xf>
    <xf numFmtId="0" fontId="4" fillId="4" borderId="24" xfId="2" quotePrefix="1" applyFont="1" applyFill="1" applyBorder="1" applyAlignment="1">
      <alignment horizontal="left" vertical="center"/>
    </xf>
    <xf numFmtId="49" fontId="4" fillId="4" borderId="25" xfId="2" applyNumberFormat="1" applyFont="1" applyFill="1" applyBorder="1" applyAlignment="1">
      <alignment horizontal="center" vertical="center"/>
    </xf>
    <xf numFmtId="0" fontId="4" fillId="4" borderId="26" xfId="2" quotePrefix="1" applyFont="1" applyFill="1" applyBorder="1" applyAlignment="1">
      <alignment horizontal="left" vertical="center"/>
    </xf>
    <xf numFmtId="4" fontId="4" fillId="4" borderId="27" xfId="2" applyNumberFormat="1" applyFont="1" applyFill="1" applyBorder="1" applyAlignment="1">
      <alignment horizontal="center" vertical="center"/>
    </xf>
    <xf numFmtId="49" fontId="4" fillId="3" borderId="28" xfId="2" applyNumberFormat="1" applyFont="1" applyFill="1" applyBorder="1" applyAlignment="1">
      <alignment horizontal="center" vertical="center"/>
    </xf>
    <xf numFmtId="0" fontId="6" fillId="3" borderId="29" xfId="2" applyFont="1" applyFill="1" applyBorder="1" applyAlignment="1">
      <alignment horizontal="center" vertical="center"/>
    </xf>
    <xf numFmtId="4" fontId="4" fillId="3" borderId="29" xfId="2" applyNumberFormat="1" applyFont="1" applyFill="1" applyBorder="1" applyAlignment="1">
      <alignment horizontal="center" vertical="center"/>
    </xf>
    <xf numFmtId="49" fontId="4" fillId="4" borderId="23" xfId="2" quotePrefix="1" applyNumberFormat="1" applyFont="1" applyFill="1" applyBorder="1" applyAlignment="1">
      <alignment horizontal="center" vertical="center"/>
    </xf>
    <xf numFmtId="4" fontId="4" fillId="4" borderId="24" xfId="2" applyNumberFormat="1" applyFont="1" applyFill="1" applyBorder="1" applyAlignment="1">
      <alignment horizontal="center" vertical="center"/>
    </xf>
    <xf numFmtId="0" fontId="4" fillId="4" borderId="16" xfId="2" quotePrefix="1" applyFont="1" applyFill="1" applyBorder="1" applyAlignment="1">
      <alignment horizontal="left" vertical="center"/>
    </xf>
    <xf numFmtId="49" fontId="4" fillId="0" borderId="15" xfId="2" quotePrefix="1" applyNumberFormat="1" applyFont="1" applyBorder="1" applyAlignment="1">
      <alignment horizontal="center" vertical="center"/>
    </xf>
    <xf numFmtId="0" fontId="4" fillId="0" borderId="16" xfId="2" quotePrefix="1" applyFont="1" applyBorder="1" applyAlignment="1">
      <alignment horizontal="left" vertical="center"/>
    </xf>
    <xf numFmtId="4" fontId="4" fillId="0" borderId="16" xfId="2" applyNumberFormat="1" applyFont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4" fillId="4" borderId="24" xfId="2" applyFont="1" applyFill="1" applyBorder="1" applyAlignment="1">
      <alignment horizontal="left" vertical="center"/>
    </xf>
    <xf numFmtId="49" fontId="4" fillId="4" borderId="25" xfId="2" quotePrefix="1" applyNumberFormat="1" applyFont="1" applyFill="1" applyBorder="1" applyAlignment="1">
      <alignment horizontal="center" vertical="center"/>
    </xf>
    <xf numFmtId="0" fontId="4" fillId="4" borderId="26" xfId="2" applyFont="1" applyFill="1" applyBorder="1" applyAlignment="1">
      <alignment horizontal="left" vertical="center"/>
    </xf>
    <xf numFmtId="4" fontId="4" fillId="4" borderId="26" xfId="2" applyNumberFormat="1" applyFont="1" applyFill="1" applyBorder="1" applyAlignment="1">
      <alignment horizontal="center" vertical="center"/>
    </xf>
    <xf numFmtId="0" fontId="10" fillId="0" borderId="0" xfId="2" applyFont="1"/>
    <xf numFmtId="49" fontId="4" fillId="4" borderId="30" xfId="2" applyNumberFormat="1" applyFont="1" applyFill="1" applyBorder="1" applyAlignment="1">
      <alignment horizontal="center" vertical="center"/>
    </xf>
    <xf numFmtId="0" fontId="9" fillId="4" borderId="31" xfId="2" applyFont="1" applyFill="1" applyBorder="1" applyAlignment="1">
      <alignment horizontal="left" vertical="center"/>
    </xf>
    <xf numFmtId="4" fontId="4" fillId="4" borderId="32" xfId="2" applyNumberFormat="1" applyFont="1" applyFill="1" applyBorder="1" applyAlignment="1">
      <alignment horizontal="center" vertical="center"/>
    </xf>
    <xf numFmtId="2" fontId="4" fillId="4" borderId="33" xfId="2" applyNumberFormat="1" applyFont="1" applyFill="1" applyBorder="1" applyAlignment="1">
      <alignment horizontal="center" vertical="center"/>
    </xf>
    <xf numFmtId="2" fontId="4" fillId="4" borderId="3" xfId="2" applyNumberFormat="1" applyFont="1" applyFill="1" applyBorder="1" applyAlignment="1">
      <alignment horizontal="center" vertical="center"/>
    </xf>
    <xf numFmtId="4" fontId="10" fillId="0" borderId="0" xfId="2" applyNumberFormat="1" applyFont="1"/>
    <xf numFmtId="49" fontId="4" fillId="4" borderId="0" xfId="2" applyNumberFormat="1" applyFont="1" applyFill="1" applyAlignment="1">
      <alignment horizontal="center" vertical="center"/>
    </xf>
    <xf numFmtId="0" fontId="9" fillId="4" borderId="0" xfId="2" applyFont="1" applyFill="1" applyAlignment="1">
      <alignment horizontal="left" vertical="center"/>
    </xf>
    <xf numFmtId="4" fontId="4" fillId="4" borderId="0" xfId="2" applyNumberFormat="1" applyFont="1" applyFill="1" applyAlignment="1">
      <alignment horizontal="center" vertical="center"/>
    </xf>
    <xf numFmtId="0" fontId="11" fillId="0" borderId="0" xfId="2" applyFont="1" applyAlignment="1">
      <alignment horizontal="center"/>
    </xf>
    <xf numFmtId="0" fontId="12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10" fillId="0" borderId="0" xfId="2" applyFont="1" applyAlignment="1">
      <alignment horizontal="left" vertical="center"/>
    </xf>
    <xf numFmtId="4" fontId="10" fillId="0" borderId="0" xfId="2" applyNumberFormat="1" applyFont="1" applyAlignment="1">
      <alignment vertical="center"/>
    </xf>
    <xf numFmtId="4" fontId="8" fillId="0" borderId="0" xfId="2" applyNumberFormat="1" applyFont="1" applyAlignment="1">
      <alignment horizontal="center" vertical="center"/>
    </xf>
    <xf numFmtId="0" fontId="8" fillId="0" borderId="0" xfId="2" applyFont="1" applyAlignment="1">
      <alignment horizontal="center" vertical="center" wrapText="1"/>
    </xf>
    <xf numFmtId="2" fontId="6" fillId="0" borderId="0" xfId="2" applyNumberFormat="1" applyFont="1" applyAlignment="1">
      <alignment horizontal="right" vertical="center"/>
    </xf>
    <xf numFmtId="2" fontId="8" fillId="0" borderId="0" xfId="2" applyNumberFormat="1" applyFont="1" applyAlignment="1">
      <alignment horizontal="right" vertical="center"/>
    </xf>
    <xf numFmtId="14" fontId="6" fillId="0" borderId="0" xfId="2" quotePrefix="1" applyNumberFormat="1" applyFont="1" applyAlignment="1">
      <alignment horizontal="center"/>
    </xf>
    <xf numFmtId="49" fontId="4" fillId="0" borderId="0" xfId="2" applyNumberFormat="1" applyFont="1" applyAlignment="1">
      <alignment horizontal="center" vertical="center"/>
    </xf>
    <xf numFmtId="0" fontId="8" fillId="0" borderId="0" xfId="2" applyFont="1" applyAlignment="1">
      <alignment horizontal="left" vertical="center"/>
    </xf>
    <xf numFmtId="164" fontId="6" fillId="0" borderId="0" xfId="2" applyNumberFormat="1" applyFont="1" applyAlignment="1">
      <alignment horizontal="right" vertical="center"/>
    </xf>
    <xf numFmtId="2" fontId="4" fillId="0" borderId="0" xfId="2" applyNumberFormat="1" applyFont="1"/>
    <xf numFmtId="0" fontId="6" fillId="0" borderId="0" xfId="2" quotePrefix="1" applyFont="1" applyAlignment="1">
      <alignment horizontal="left" vertical="center"/>
    </xf>
    <xf numFmtId="49" fontId="4" fillId="0" borderId="0" xfId="2" quotePrefix="1" applyNumberFormat="1" applyFont="1" applyAlignment="1">
      <alignment horizontal="center" vertical="center"/>
    </xf>
    <xf numFmtId="0" fontId="13" fillId="0" borderId="0" xfId="2" applyFont="1" applyAlignment="1">
      <alignment horizontal="right" vertical="top"/>
    </xf>
    <xf numFmtId="0" fontId="6" fillId="0" borderId="0" xfId="2" applyFont="1" applyAlignment="1">
      <alignment horizontal="left" vertical="center"/>
    </xf>
    <xf numFmtId="0" fontId="6" fillId="0" borderId="0" xfId="2" applyFont="1" applyAlignment="1">
      <alignment vertical="center" wrapText="1"/>
    </xf>
    <xf numFmtId="2" fontId="6" fillId="0" borderId="0" xfId="2" applyNumberFormat="1" applyFont="1" applyAlignment="1">
      <alignment horizontal="center" vertical="center"/>
    </xf>
    <xf numFmtId="0" fontId="4" fillId="0" borderId="0" xfId="2" applyFont="1" applyAlignment="1">
      <alignment vertical="center"/>
    </xf>
    <xf numFmtId="2" fontId="6" fillId="0" borderId="0" xfId="2" quotePrefix="1" applyNumberFormat="1" applyFont="1" applyAlignment="1">
      <alignment horizontal="right" vertical="center"/>
    </xf>
    <xf numFmtId="0" fontId="6" fillId="0" borderId="0" xfId="2" applyFont="1" applyAlignment="1">
      <alignment vertical="center"/>
    </xf>
    <xf numFmtId="0" fontId="4" fillId="0" borderId="0" xfId="2" quotePrefix="1" applyFont="1" applyAlignment="1">
      <alignment horizontal="center" vertical="center"/>
    </xf>
    <xf numFmtId="2" fontId="6" fillId="0" borderId="0" xfId="2" applyNumberFormat="1" applyFont="1" applyAlignment="1">
      <alignment vertical="center"/>
    </xf>
    <xf numFmtId="0" fontId="4" fillId="0" borderId="0" xfId="2" applyFont="1" applyAlignment="1">
      <alignment horizontal="left" vertical="center"/>
    </xf>
    <xf numFmtId="0" fontId="13" fillId="0" borderId="0" xfId="2" applyFont="1"/>
    <xf numFmtId="0" fontId="7" fillId="0" borderId="0" xfId="2" applyFont="1" applyAlignment="1">
      <alignment vertical="center" wrapText="1"/>
    </xf>
    <xf numFmtId="0" fontId="8" fillId="0" borderId="34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8" fillId="0" borderId="35" xfId="2" applyFont="1" applyBorder="1" applyAlignment="1">
      <alignment horizontal="center" vertical="center"/>
    </xf>
    <xf numFmtId="14" fontId="8" fillId="0" borderId="10" xfId="2" quotePrefix="1" applyNumberFormat="1" applyFont="1" applyBorder="1" applyAlignment="1">
      <alignment horizontal="center" vertical="center"/>
    </xf>
    <xf numFmtId="0" fontId="8" fillId="0" borderId="28" xfId="2" applyFont="1" applyBorder="1" applyAlignment="1">
      <alignment horizontal="center" vertical="center"/>
    </xf>
    <xf numFmtId="0" fontId="8" fillId="0" borderId="36" xfId="2" applyFont="1" applyBorder="1" applyAlignment="1">
      <alignment horizontal="center" vertical="center"/>
    </xf>
    <xf numFmtId="0" fontId="8" fillId="0" borderId="13" xfId="2" applyFont="1" applyBorder="1" applyAlignment="1">
      <alignment horizontal="centerContinuous" vertical="center" wrapText="1"/>
    </xf>
    <xf numFmtId="0" fontId="8" fillId="0" borderId="14" xfId="2" applyFont="1" applyBorder="1" applyAlignment="1">
      <alignment horizontal="centerContinuous" vertical="center" wrapText="1"/>
    </xf>
    <xf numFmtId="2" fontId="6" fillId="3" borderId="2" xfId="2" applyNumberFormat="1" applyFont="1" applyFill="1" applyBorder="1" applyAlignment="1">
      <alignment horizontal="right" vertical="center"/>
    </xf>
    <xf numFmtId="164" fontId="6" fillId="3" borderId="2" xfId="2" applyNumberFormat="1" applyFont="1" applyFill="1" applyBorder="1" applyAlignment="1">
      <alignment horizontal="right" vertical="center"/>
    </xf>
    <xf numFmtId="2" fontId="6" fillId="3" borderId="3" xfId="2" applyNumberFormat="1" applyFont="1" applyFill="1" applyBorder="1" applyAlignment="1">
      <alignment horizontal="right" vertical="center"/>
    </xf>
    <xf numFmtId="49" fontId="4" fillId="0" borderId="37" xfId="2" applyNumberFormat="1" applyFont="1" applyBorder="1" applyAlignment="1">
      <alignment horizontal="center" vertical="center"/>
    </xf>
    <xf numFmtId="0" fontId="4" fillId="0" borderId="10" xfId="2" applyFont="1" applyBorder="1" applyAlignment="1">
      <alignment vertical="center" wrapText="1"/>
    </xf>
    <xf numFmtId="2" fontId="4" fillId="0" borderId="10" xfId="2" applyNumberFormat="1" applyFont="1" applyBorder="1" applyAlignment="1">
      <alignment horizontal="center" vertical="center"/>
    </xf>
    <xf numFmtId="4" fontId="4" fillId="0" borderId="10" xfId="1" applyNumberFormat="1" applyFont="1" applyFill="1" applyBorder="1" applyAlignment="1">
      <alignment horizontal="center" vertical="center"/>
    </xf>
    <xf numFmtId="4" fontId="4" fillId="0" borderId="12" xfId="2" applyNumberFormat="1" applyFont="1" applyBorder="1" applyAlignment="1">
      <alignment horizontal="center" vertical="center"/>
    </xf>
    <xf numFmtId="0" fontId="4" fillId="0" borderId="35" xfId="2" applyFont="1" applyBorder="1" applyAlignment="1">
      <alignment vertical="center" wrapText="1"/>
    </xf>
    <xf numFmtId="2" fontId="4" fillId="0" borderId="35" xfId="2" applyNumberFormat="1" applyFont="1" applyBorder="1" applyAlignment="1">
      <alignment horizontal="center" vertical="center"/>
    </xf>
    <xf numFmtId="4" fontId="4" fillId="0" borderId="10" xfId="2" applyNumberFormat="1" applyFont="1" applyBorder="1" applyAlignment="1">
      <alignment horizontal="center" vertical="center"/>
    </xf>
    <xf numFmtId="2" fontId="6" fillId="3" borderId="2" xfId="2" applyNumberFormat="1" applyFont="1" applyFill="1" applyBorder="1" applyAlignment="1">
      <alignment horizontal="center" vertical="center"/>
    </xf>
    <xf numFmtId="164" fontId="6" fillId="3" borderId="2" xfId="2" applyNumberFormat="1" applyFont="1" applyFill="1" applyBorder="1" applyAlignment="1">
      <alignment horizontal="center" vertical="center"/>
    </xf>
    <xf numFmtId="2" fontId="6" fillId="3" borderId="3" xfId="2" applyNumberFormat="1" applyFont="1" applyFill="1" applyBorder="1" applyAlignment="1">
      <alignment horizontal="center" vertical="center"/>
    </xf>
    <xf numFmtId="0" fontId="4" fillId="4" borderId="38" xfId="2" quotePrefix="1" applyFont="1" applyFill="1" applyBorder="1" applyAlignment="1">
      <alignment horizontal="center" vertical="center"/>
    </xf>
    <xf numFmtId="0" fontId="9" fillId="4" borderId="7" xfId="2" applyFont="1" applyFill="1" applyBorder="1" applyAlignment="1">
      <alignment vertical="center"/>
    </xf>
    <xf numFmtId="2" fontId="4" fillId="4" borderId="6" xfId="2" applyNumberFormat="1" applyFont="1" applyFill="1" applyBorder="1" applyAlignment="1">
      <alignment horizontal="center" vertical="center"/>
    </xf>
    <xf numFmtId="4" fontId="4" fillId="4" borderId="10" xfId="1" applyNumberFormat="1" applyFont="1" applyFill="1" applyBorder="1" applyAlignment="1">
      <alignment horizontal="center" vertical="center"/>
    </xf>
    <xf numFmtId="4" fontId="4" fillId="4" borderId="12" xfId="2" applyNumberFormat="1" applyFont="1" applyFill="1" applyBorder="1" applyAlignment="1">
      <alignment horizontal="center" vertical="center"/>
    </xf>
    <xf numFmtId="0" fontId="4" fillId="4" borderId="37" xfId="2" quotePrefix="1" applyFont="1" applyFill="1" applyBorder="1" applyAlignment="1">
      <alignment horizontal="center" vertical="center"/>
    </xf>
    <xf numFmtId="0" fontId="9" fillId="4" borderId="11" xfId="2" applyFont="1" applyFill="1" applyBorder="1" applyAlignment="1">
      <alignment vertical="center"/>
    </xf>
    <xf numFmtId="0" fontId="4" fillId="4" borderId="39" xfId="2" quotePrefix="1" applyFont="1" applyFill="1" applyBorder="1" applyAlignment="1">
      <alignment horizontal="center" vertical="center"/>
    </xf>
    <xf numFmtId="0" fontId="9" fillId="4" borderId="13" xfId="2" applyFont="1" applyFill="1" applyBorder="1" applyAlignment="1">
      <alignment vertical="center"/>
    </xf>
    <xf numFmtId="2" fontId="4" fillId="4" borderId="40" xfId="2" applyNumberFormat="1" applyFont="1" applyFill="1" applyBorder="1" applyAlignment="1">
      <alignment horizontal="center" vertical="center"/>
    </xf>
    <xf numFmtId="4" fontId="4" fillId="4" borderId="40" xfId="1" applyNumberFormat="1" applyFont="1" applyFill="1" applyBorder="1" applyAlignment="1">
      <alignment horizontal="center" vertical="center"/>
    </xf>
    <xf numFmtId="4" fontId="4" fillId="4" borderId="14" xfId="2" applyNumberFormat="1" applyFont="1" applyFill="1" applyBorder="1" applyAlignment="1">
      <alignment horizontal="center" vertical="center"/>
    </xf>
    <xf numFmtId="0" fontId="15" fillId="0" borderId="0" xfId="2" applyFont="1"/>
    <xf numFmtId="0" fontId="16" fillId="0" borderId="0" xfId="2" applyFont="1" applyAlignment="1">
      <alignment vertical="center"/>
    </xf>
    <xf numFmtId="0" fontId="11" fillId="0" borderId="0" xfId="2" applyFont="1" applyAlignment="1">
      <alignment vertical="top" wrapText="1"/>
    </xf>
    <xf numFmtId="0" fontId="17" fillId="0" borderId="0" xfId="2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19" fillId="0" borderId="0" xfId="2" applyFont="1"/>
    <xf numFmtId="14" fontId="20" fillId="0" borderId="0" xfId="2" quotePrefix="1" applyNumberFormat="1" applyFont="1" applyAlignment="1">
      <alignment horizontal="center"/>
    </xf>
    <xf numFmtId="0" fontId="17" fillId="0" borderId="0" xfId="2" applyFont="1" applyAlignment="1">
      <alignment horizontal="centerContinuous" vertical="center" wrapText="1"/>
    </xf>
    <xf numFmtId="49" fontId="19" fillId="0" borderId="0" xfId="2" applyNumberFormat="1" applyFont="1" applyAlignment="1">
      <alignment horizontal="center" vertical="center"/>
    </xf>
    <xf numFmtId="0" fontId="17" fillId="0" borderId="0" xfId="2" applyFont="1" applyAlignment="1">
      <alignment horizontal="left" vertical="center"/>
    </xf>
    <xf numFmtId="2" fontId="20" fillId="0" borderId="0" xfId="2" applyNumberFormat="1" applyFont="1" applyAlignment="1">
      <alignment horizontal="right" vertical="center"/>
    </xf>
    <xf numFmtId="164" fontId="20" fillId="0" borderId="0" xfId="2" applyNumberFormat="1" applyFont="1" applyAlignment="1">
      <alignment horizontal="right" vertical="center"/>
    </xf>
    <xf numFmtId="2" fontId="17" fillId="0" borderId="0" xfId="2" applyNumberFormat="1" applyFont="1" applyAlignment="1">
      <alignment horizontal="right" vertical="center"/>
    </xf>
    <xf numFmtId="0" fontId="20" fillId="0" borderId="0" xfId="2" quotePrefix="1" applyFont="1" applyAlignment="1">
      <alignment horizontal="left" vertical="center"/>
    </xf>
    <xf numFmtId="2" fontId="10" fillId="0" borderId="0" xfId="2" applyNumberFormat="1" applyFont="1"/>
    <xf numFmtId="49" fontId="19" fillId="0" borderId="0" xfId="2" quotePrefix="1" applyNumberFormat="1" applyFont="1" applyAlignment="1">
      <alignment horizontal="center" vertical="center"/>
    </xf>
    <xf numFmtId="0" fontId="13" fillId="0" borderId="0" xfId="2" applyFont="1" applyAlignment="1">
      <alignment horizontal="right"/>
    </xf>
    <xf numFmtId="0" fontId="19" fillId="0" borderId="0" xfId="2" quotePrefix="1" applyFont="1" applyAlignment="1">
      <alignment horizontal="center" vertical="center"/>
    </xf>
    <xf numFmtId="0" fontId="20" fillId="0" borderId="0" xfId="2" applyFont="1" applyAlignment="1">
      <alignment vertical="center"/>
    </xf>
    <xf numFmtId="2" fontId="20" fillId="0" borderId="0" xfId="2" applyNumberFormat="1" applyFont="1" applyAlignment="1">
      <alignment vertical="center"/>
    </xf>
    <xf numFmtId="0" fontId="19" fillId="0" borderId="0" xfId="2" applyFont="1" applyAlignment="1">
      <alignment horizontal="left" vertical="center"/>
    </xf>
    <xf numFmtId="0" fontId="13" fillId="0" borderId="0" xfId="2" applyFont="1" applyAlignment="1">
      <alignment horizontal="left" vertical="center"/>
    </xf>
    <xf numFmtId="0" fontId="13" fillId="0" borderId="0" xfId="2" applyFont="1" applyAlignment="1">
      <alignment vertical="center"/>
    </xf>
    <xf numFmtId="0" fontId="21" fillId="0" borderId="4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21" fillId="0" borderId="9" xfId="2" applyFont="1" applyBorder="1" applyAlignment="1">
      <alignment horizontal="center" vertical="center"/>
    </xf>
    <xf numFmtId="0" fontId="21" fillId="0" borderId="28" xfId="2" applyFont="1" applyBorder="1" applyAlignment="1">
      <alignment horizontal="center" vertical="center"/>
    </xf>
    <xf numFmtId="0" fontId="8" fillId="0" borderId="40" xfId="2" quotePrefix="1" applyFont="1" applyBorder="1" applyAlignment="1">
      <alignment horizontal="center" vertical="center" wrapText="1"/>
    </xf>
    <xf numFmtId="0" fontId="21" fillId="5" borderId="9" xfId="2" applyFont="1" applyFill="1" applyBorder="1" applyAlignment="1">
      <alignment horizontal="center" vertical="center"/>
    </xf>
    <xf numFmtId="0" fontId="8" fillId="5" borderId="0" xfId="2" applyFont="1" applyFill="1" applyAlignment="1">
      <alignment horizontal="center" vertical="center"/>
    </xf>
    <xf numFmtId="14" fontId="6" fillId="6" borderId="0" xfId="2" quotePrefix="1" applyNumberFormat="1" applyFont="1" applyFill="1" applyAlignment="1">
      <alignment horizontal="center"/>
    </xf>
    <xf numFmtId="0" fontId="8" fillId="5" borderId="0" xfId="2" applyFont="1" applyFill="1" applyAlignment="1">
      <alignment horizontal="centerContinuous" vertical="center" wrapText="1"/>
    </xf>
    <xf numFmtId="0" fontId="8" fillId="5" borderId="12" xfId="2" applyFont="1" applyFill="1" applyBorder="1" applyAlignment="1">
      <alignment horizontal="centerContinuous" vertical="center" wrapText="1"/>
    </xf>
    <xf numFmtId="49" fontId="4" fillId="4" borderId="41" xfId="2" applyNumberFormat="1" applyFont="1" applyFill="1" applyBorder="1" applyAlignment="1">
      <alignment horizontal="center" vertical="center"/>
    </xf>
    <xf numFmtId="0" fontId="9" fillId="4" borderId="42" xfId="2" applyFont="1" applyFill="1" applyBorder="1" applyAlignment="1">
      <alignment horizontal="left" vertical="center"/>
    </xf>
    <xf numFmtId="2" fontId="4" fillId="4" borderId="42" xfId="2" applyNumberFormat="1" applyFont="1" applyFill="1" applyBorder="1" applyAlignment="1">
      <alignment horizontal="center" vertical="center"/>
    </xf>
    <xf numFmtId="2" fontId="4" fillId="4" borderId="43" xfId="2" applyNumberFormat="1" applyFont="1" applyFill="1" applyBorder="1" applyAlignment="1">
      <alignment horizontal="center" vertical="center"/>
    </xf>
    <xf numFmtId="2" fontId="4" fillId="4" borderId="44" xfId="2" applyNumberFormat="1" applyFont="1" applyFill="1" applyBorder="1" applyAlignment="1">
      <alignment horizontal="center" vertical="center"/>
    </xf>
    <xf numFmtId="2" fontId="4" fillId="4" borderId="16" xfId="2" applyNumberFormat="1" applyFont="1" applyFill="1" applyBorder="1" applyAlignment="1">
      <alignment horizontal="center" vertical="center"/>
    </xf>
    <xf numFmtId="2" fontId="4" fillId="4" borderId="18" xfId="2" applyNumberFormat="1" applyFont="1" applyFill="1" applyBorder="1" applyAlignment="1">
      <alignment horizontal="center" vertical="center"/>
    </xf>
    <xf numFmtId="2" fontId="13" fillId="4" borderId="9" xfId="2" applyNumberFormat="1" applyFont="1" applyFill="1" applyBorder="1" applyAlignment="1">
      <alignment horizontal="center" vertical="center"/>
    </xf>
    <xf numFmtId="2" fontId="9" fillId="4" borderId="27" xfId="2" applyNumberFormat="1" applyFont="1" applyFill="1" applyBorder="1" applyAlignment="1">
      <alignment horizontal="center" vertical="center"/>
    </xf>
    <xf numFmtId="2" fontId="9" fillId="4" borderId="12" xfId="2" applyNumberFormat="1" applyFont="1" applyFill="1" applyBorder="1" applyAlignment="1">
      <alignment horizontal="center" vertical="center"/>
    </xf>
    <xf numFmtId="49" fontId="4" fillId="6" borderId="1" xfId="2" applyNumberFormat="1" applyFont="1" applyFill="1" applyBorder="1" applyAlignment="1">
      <alignment horizontal="center" vertical="center"/>
    </xf>
    <xf numFmtId="0" fontId="8" fillId="6" borderId="2" xfId="2" applyFont="1" applyFill="1" applyBorder="1" applyAlignment="1">
      <alignment horizontal="center" vertical="center"/>
    </xf>
    <xf numFmtId="2" fontId="4" fillId="6" borderId="2" xfId="2" applyNumberFormat="1" applyFont="1" applyFill="1" applyBorder="1" applyAlignment="1">
      <alignment horizontal="center" vertical="center"/>
    </xf>
    <xf numFmtId="2" fontId="4" fillId="6" borderId="5" xfId="2" applyNumberFormat="1" applyFont="1" applyFill="1" applyBorder="1" applyAlignment="1">
      <alignment horizontal="center" vertical="center"/>
    </xf>
    <xf numFmtId="2" fontId="9" fillId="6" borderId="3" xfId="2" applyNumberFormat="1" applyFont="1" applyFill="1" applyBorder="1" applyAlignment="1">
      <alignment horizontal="center" vertical="center"/>
    </xf>
    <xf numFmtId="2" fontId="4" fillId="4" borderId="24" xfId="2" applyNumberFormat="1" applyFont="1" applyFill="1" applyBorder="1" applyAlignment="1">
      <alignment horizontal="center" vertical="center"/>
    </xf>
    <xf numFmtId="2" fontId="9" fillId="4" borderId="45" xfId="2" applyNumberFormat="1" applyFont="1" applyFill="1" applyBorder="1" applyAlignment="1">
      <alignment horizontal="center" vertical="center"/>
    </xf>
    <xf numFmtId="0" fontId="22" fillId="0" borderId="0" xfId="2" applyFont="1"/>
    <xf numFmtId="0" fontId="23" fillId="0" borderId="0" xfId="2" applyFont="1"/>
    <xf numFmtId="0" fontId="6" fillId="6" borderId="2" xfId="2" applyFont="1" applyFill="1" applyBorder="1" applyAlignment="1">
      <alignment horizontal="center" vertical="center"/>
    </xf>
    <xf numFmtId="2" fontId="9" fillId="4" borderId="10" xfId="2" applyNumberFormat="1" applyFont="1" applyFill="1" applyBorder="1" applyAlignment="1">
      <alignment horizontal="center" vertical="center"/>
    </xf>
    <xf numFmtId="2" fontId="22" fillId="0" borderId="0" xfId="2" applyNumberFormat="1" applyFont="1"/>
    <xf numFmtId="0" fontId="4" fillId="4" borderId="16" xfId="2" applyFont="1" applyFill="1" applyBorder="1" applyAlignment="1">
      <alignment horizontal="left" vertical="center"/>
    </xf>
    <xf numFmtId="2" fontId="4" fillId="6" borderId="3" xfId="2" applyNumberFormat="1" applyFont="1" applyFill="1" applyBorder="1" applyAlignment="1">
      <alignment horizontal="center" vertical="center"/>
    </xf>
    <xf numFmtId="49" fontId="4" fillId="4" borderId="37" xfId="2" applyNumberFormat="1" applyFont="1" applyFill="1" applyBorder="1" applyAlignment="1">
      <alignment horizontal="center" vertical="center"/>
    </xf>
    <xf numFmtId="0" fontId="4" fillId="4" borderId="10" xfId="2" applyFont="1" applyFill="1" applyBorder="1" applyAlignment="1">
      <alignment vertical="center" wrapText="1"/>
    </xf>
    <xf numFmtId="2" fontId="4" fillId="4" borderId="46" xfId="2" applyNumberFormat="1" applyFont="1" applyFill="1" applyBorder="1" applyAlignment="1">
      <alignment horizontal="center" vertical="center"/>
    </xf>
    <xf numFmtId="0" fontId="6" fillId="6" borderId="2" xfId="2" applyFont="1" applyFill="1" applyBorder="1" applyAlignment="1">
      <alignment horizontal="center" vertical="center" wrapText="1"/>
    </xf>
    <xf numFmtId="0" fontId="4" fillId="4" borderId="10" xfId="2" quotePrefix="1" applyFont="1" applyFill="1" applyBorder="1" applyAlignment="1">
      <alignment horizontal="left" vertical="center"/>
    </xf>
    <xf numFmtId="0" fontId="4" fillId="4" borderId="10" xfId="2" applyFont="1" applyFill="1" applyBorder="1" applyAlignment="1">
      <alignment vertical="center"/>
    </xf>
    <xf numFmtId="0" fontId="24" fillId="0" borderId="0" xfId="2" applyFont="1"/>
    <xf numFmtId="2" fontId="4" fillId="4" borderId="47" xfId="2" applyNumberFormat="1" applyFont="1" applyFill="1" applyBorder="1" applyAlignment="1">
      <alignment horizontal="center" vertical="center"/>
    </xf>
    <xf numFmtId="0" fontId="13" fillId="6" borderId="1" xfId="2" quotePrefix="1" applyFont="1" applyFill="1" applyBorder="1" applyAlignment="1">
      <alignment horizontal="center" vertical="center"/>
    </xf>
    <xf numFmtId="0" fontId="25" fillId="0" borderId="0" xfId="2" applyFont="1"/>
    <xf numFmtId="0" fontId="4" fillId="4" borderId="48" xfId="2" quotePrefix="1" applyFont="1" applyFill="1" applyBorder="1" applyAlignment="1">
      <alignment horizontal="center" vertical="center"/>
    </xf>
    <xf numFmtId="0" fontId="4" fillId="4" borderId="49" xfId="2" applyFont="1" applyFill="1" applyBorder="1" applyAlignment="1">
      <alignment vertical="center"/>
    </xf>
    <xf numFmtId="2" fontId="4" fillId="4" borderId="49" xfId="2" applyNumberFormat="1" applyFont="1" applyFill="1" applyBorder="1" applyAlignment="1">
      <alignment horizontal="center" vertical="center"/>
    </xf>
    <xf numFmtId="2" fontId="4" fillId="4" borderId="50" xfId="2" applyNumberFormat="1" applyFont="1" applyFill="1" applyBorder="1" applyAlignment="1">
      <alignment horizontal="center" vertical="center"/>
    </xf>
    <xf numFmtId="0" fontId="4" fillId="4" borderId="51" xfId="2" quotePrefix="1" applyFont="1" applyFill="1" applyBorder="1" applyAlignment="1">
      <alignment horizontal="center" vertical="center"/>
    </xf>
    <xf numFmtId="0" fontId="4" fillId="4" borderId="52" xfId="2" applyFont="1" applyFill="1" applyBorder="1" applyAlignment="1">
      <alignment vertical="center"/>
    </xf>
    <xf numFmtId="2" fontId="4" fillId="4" borderId="52" xfId="2" applyNumberFormat="1" applyFont="1" applyFill="1" applyBorder="1" applyAlignment="1">
      <alignment horizontal="center" vertical="center"/>
    </xf>
    <xf numFmtId="2" fontId="4" fillId="4" borderId="53" xfId="2" applyNumberFormat="1" applyFont="1" applyFill="1" applyBorder="1" applyAlignment="1">
      <alignment horizontal="center" vertical="center"/>
    </xf>
    <xf numFmtId="2" fontId="4" fillId="4" borderId="54" xfId="2" applyNumberFormat="1" applyFont="1" applyFill="1" applyBorder="1" applyAlignment="1">
      <alignment horizontal="center" vertical="center"/>
    </xf>
    <xf numFmtId="0" fontId="4" fillId="4" borderId="29" xfId="2" applyFont="1" applyFill="1" applyBorder="1" applyAlignment="1">
      <alignment vertical="center"/>
    </xf>
    <xf numFmtId="0" fontId="26" fillId="0" borderId="0" xfId="2" applyFont="1"/>
    <xf numFmtId="0" fontId="4" fillId="6" borderId="1" xfId="2" quotePrefix="1" applyFont="1" applyFill="1" applyBorder="1" applyAlignment="1">
      <alignment horizontal="center" vertical="center"/>
    </xf>
    <xf numFmtId="164" fontId="4" fillId="6" borderId="2" xfId="2" applyNumberFormat="1" applyFont="1" applyFill="1" applyBorder="1" applyAlignment="1">
      <alignment horizontal="center" vertical="center"/>
    </xf>
    <xf numFmtId="0" fontId="4" fillId="4" borderId="55" xfId="2" applyFont="1" applyFill="1" applyBorder="1" applyAlignment="1">
      <alignment vertical="center"/>
    </xf>
    <xf numFmtId="0" fontId="4" fillId="4" borderId="58" xfId="2" quotePrefix="1" applyFont="1" applyFill="1" applyBorder="1" applyAlignment="1">
      <alignment horizontal="center" vertical="center"/>
    </xf>
    <xf numFmtId="0" fontId="4" fillId="4" borderId="59" xfId="2" applyFont="1" applyFill="1" applyBorder="1" applyAlignment="1">
      <alignment vertical="center"/>
    </xf>
    <xf numFmtId="0" fontId="6" fillId="0" borderId="5" xfId="2" applyFont="1" applyBorder="1" applyAlignment="1">
      <alignment vertical="center"/>
    </xf>
    <xf numFmtId="0" fontId="4" fillId="0" borderId="5" xfId="2" applyFont="1" applyBorder="1" applyAlignment="1">
      <alignment vertical="center"/>
    </xf>
    <xf numFmtId="0" fontId="13" fillId="0" borderId="5" xfId="2" applyFont="1" applyBorder="1" applyAlignment="1">
      <alignment vertical="center"/>
    </xf>
    <xf numFmtId="4" fontId="13" fillId="0" borderId="0" xfId="2" applyNumberFormat="1" applyFont="1"/>
    <xf numFmtId="0" fontId="21" fillId="0" borderId="0" xfId="2" applyFont="1" applyAlignment="1">
      <alignment horizontal="center" vertical="center"/>
    </xf>
    <xf numFmtId="14" fontId="27" fillId="0" borderId="0" xfId="2" quotePrefix="1" applyNumberFormat="1" applyFont="1" applyAlignment="1">
      <alignment horizontal="center"/>
    </xf>
    <xf numFmtId="0" fontId="21" fillId="0" borderId="0" xfId="2" applyFont="1" applyAlignment="1">
      <alignment horizontal="center" vertical="center" wrapText="1"/>
    </xf>
    <xf numFmtId="49" fontId="13" fillId="0" borderId="0" xfId="2" applyNumberFormat="1" applyFont="1" applyAlignment="1">
      <alignment horizontal="center" vertical="center"/>
    </xf>
    <xf numFmtId="0" fontId="21" fillId="0" borderId="0" xfId="2" applyFont="1" applyAlignment="1">
      <alignment horizontal="left" vertical="center"/>
    </xf>
    <xf numFmtId="2" fontId="27" fillId="0" borderId="0" xfId="2" applyNumberFormat="1" applyFont="1" applyAlignment="1">
      <alignment horizontal="right" vertical="center"/>
    </xf>
    <xf numFmtId="164" fontId="27" fillId="0" borderId="0" xfId="2" applyNumberFormat="1" applyFont="1" applyAlignment="1">
      <alignment horizontal="right" vertical="center"/>
    </xf>
    <xf numFmtId="0" fontId="19" fillId="0" borderId="0" xfId="3" applyNumberFormat="1" applyFont="1" applyFill="1" applyBorder="1" applyAlignment="1"/>
    <xf numFmtId="0" fontId="6" fillId="0" borderId="0" xfId="3" quotePrefix="1" applyNumberFormat="1" applyFont="1" applyFill="1" applyBorder="1" applyAlignment="1">
      <alignment horizontal="right"/>
    </xf>
    <xf numFmtId="0" fontId="5" fillId="0" borderId="0" xfId="2" applyFont="1" applyAlignment="1">
      <alignment horizontal="left" wrapText="1"/>
    </xf>
    <xf numFmtId="0" fontId="19" fillId="0" borderId="0" xfId="3" applyNumberFormat="1" applyFont="1" applyFill="1" applyBorder="1" applyAlignment="1">
      <alignment vertical="center"/>
    </xf>
    <xf numFmtId="0" fontId="20" fillId="7" borderId="62" xfId="3" applyFont="1" applyFill="1" applyBorder="1" applyAlignment="1">
      <alignment vertical="center" wrapText="1"/>
    </xf>
    <xf numFmtId="0" fontId="20" fillId="7" borderId="62" xfId="3" applyNumberFormat="1" applyFont="1" applyFill="1" applyBorder="1" applyAlignment="1" applyProtection="1">
      <alignment horizontal="center" vertical="center" wrapText="1"/>
    </xf>
    <xf numFmtId="49" fontId="17" fillId="4" borderId="63" xfId="3" applyNumberFormat="1" applyFont="1" applyFill="1" applyBorder="1" applyAlignment="1" applyProtection="1">
      <alignment horizontal="left" vertical="center" wrapText="1"/>
    </xf>
    <xf numFmtId="49" fontId="29" fillId="4" borderId="64" xfId="0" applyNumberFormat="1" applyFont="1" applyFill="1" applyBorder="1" applyAlignment="1">
      <alignment horizontal="left" vertical="center" wrapText="1"/>
    </xf>
    <xf numFmtId="2" fontId="29" fillId="4" borderId="65" xfId="0" applyNumberFormat="1" applyFont="1" applyFill="1" applyBorder="1" applyAlignment="1">
      <alignment horizontal="center" vertical="center" wrapText="1"/>
    </xf>
    <xf numFmtId="2" fontId="17" fillId="4" borderId="65" xfId="0" quotePrefix="1" applyNumberFormat="1" applyFont="1" applyFill="1" applyBorder="1" applyAlignment="1">
      <alignment horizontal="center" vertical="center" wrapText="1"/>
    </xf>
    <xf numFmtId="0" fontId="30" fillId="4" borderId="63" xfId="3" applyFont="1" applyFill="1" applyBorder="1" applyAlignment="1" applyProtection="1">
      <alignment horizontal="left" vertical="top" wrapText="1"/>
    </xf>
    <xf numFmtId="0" fontId="30" fillId="4" borderId="66" xfId="3" applyFont="1" applyFill="1" applyBorder="1" applyAlignment="1" applyProtection="1">
      <alignment horizontal="left" vertical="top" wrapText="1"/>
    </xf>
    <xf numFmtId="49" fontId="29" fillId="4" borderId="67" xfId="0" applyNumberFormat="1" applyFont="1" applyFill="1" applyBorder="1" applyAlignment="1">
      <alignment horizontal="left" vertical="center" wrapText="1"/>
    </xf>
    <xf numFmtId="2" fontId="29" fillId="4" borderId="68" xfId="0" applyNumberFormat="1" applyFont="1" applyFill="1" applyBorder="1" applyAlignment="1">
      <alignment horizontal="center" vertical="center" wrapText="1"/>
    </xf>
    <xf numFmtId="2" fontId="17" fillId="4" borderId="69" xfId="0" quotePrefix="1" applyNumberFormat="1" applyFont="1" applyFill="1" applyBorder="1" applyAlignment="1">
      <alignment horizontal="center" vertical="center" wrapText="1"/>
    </xf>
    <xf numFmtId="49" fontId="17" fillId="4" borderId="64" xfId="3" applyNumberFormat="1" applyFont="1" applyFill="1" applyBorder="1" applyAlignment="1" applyProtection="1">
      <alignment horizontal="left" vertical="center" wrapText="1"/>
    </xf>
    <xf numFmtId="49" fontId="17" fillId="4" borderId="67" xfId="3" applyNumberFormat="1" applyFont="1" applyFill="1" applyBorder="1" applyAlignment="1" applyProtection="1">
      <alignment horizontal="left" vertical="center" wrapText="1"/>
    </xf>
    <xf numFmtId="0" fontId="12" fillId="0" borderId="0" xfId="3" applyNumberFormat="1" applyFont="1" applyFill="1" applyBorder="1" applyAlignment="1"/>
    <xf numFmtId="0" fontId="20" fillId="7" borderId="1" xfId="3" applyNumberFormat="1" applyFont="1" applyFill="1" applyBorder="1" applyAlignment="1" applyProtection="1">
      <alignment horizontal="center" vertical="center" wrapText="1"/>
    </xf>
    <xf numFmtId="2" fontId="17" fillId="4" borderId="65" xfId="0" applyNumberFormat="1" applyFont="1" applyFill="1" applyBorder="1" applyAlignment="1">
      <alignment horizontal="center" vertical="center" wrapText="1"/>
    </xf>
    <xf numFmtId="2" fontId="19" fillId="0" borderId="0" xfId="3" applyNumberFormat="1" applyFont="1" applyFill="1" applyBorder="1" applyAlignment="1"/>
    <xf numFmtId="2" fontId="17" fillId="4" borderId="68" xfId="0" applyNumberFormat="1" applyFont="1" applyFill="1" applyBorder="1" applyAlignment="1">
      <alignment horizontal="center" vertical="center" wrapText="1"/>
    </xf>
    <xf numFmtId="49" fontId="17" fillId="4" borderId="63" xfId="3" applyNumberFormat="1" applyFont="1" applyFill="1" applyBorder="1" applyAlignment="1" applyProtection="1">
      <alignment horizontal="left" vertical="top" wrapText="1"/>
    </xf>
    <xf numFmtId="2" fontId="29" fillId="4" borderId="65" xfId="0" applyNumberFormat="1" applyFont="1" applyFill="1" applyBorder="1" applyAlignment="1">
      <alignment horizontal="center" vertical="top" wrapText="1"/>
    </xf>
    <xf numFmtId="2" fontId="17" fillId="4" borderId="65" xfId="0" applyNumberFormat="1" applyFont="1" applyFill="1" applyBorder="1" applyAlignment="1">
      <alignment horizontal="center" vertical="top" wrapText="1"/>
    </xf>
    <xf numFmtId="2" fontId="29" fillId="4" borderId="68" xfId="0" applyNumberFormat="1" applyFont="1" applyFill="1" applyBorder="1" applyAlignment="1">
      <alignment horizontal="center" vertical="top" wrapText="1"/>
    </xf>
    <xf numFmtId="2" fontId="17" fillId="4" borderId="68" xfId="0" applyNumberFormat="1" applyFont="1" applyFill="1" applyBorder="1" applyAlignment="1">
      <alignment horizontal="center" vertical="top" wrapText="1"/>
    </xf>
    <xf numFmtId="49" fontId="17" fillId="4" borderId="70" xfId="3" applyNumberFormat="1" applyFont="1" applyFill="1" applyBorder="1" applyAlignment="1" applyProtection="1">
      <alignment horizontal="left" vertical="top" wrapText="1"/>
    </xf>
    <xf numFmtId="49" fontId="29" fillId="4" borderId="71" xfId="3" applyNumberFormat="1" applyFont="1" applyFill="1" applyBorder="1" applyAlignment="1" applyProtection="1">
      <alignment horizontal="left" vertical="top" wrapText="1"/>
    </xf>
    <xf numFmtId="2" fontId="29" fillId="4" borderId="72" xfId="0" applyNumberFormat="1" applyFont="1" applyFill="1" applyBorder="1" applyAlignment="1">
      <alignment horizontal="center" vertical="top" wrapText="1"/>
    </xf>
    <xf numFmtId="2" fontId="17" fillId="4" borderId="72" xfId="0" applyNumberFormat="1" applyFont="1" applyFill="1" applyBorder="1" applyAlignment="1">
      <alignment horizontal="center" vertical="top" wrapText="1"/>
    </xf>
    <xf numFmtId="49" fontId="17" fillId="4" borderId="66" xfId="3" applyNumberFormat="1" applyFont="1" applyFill="1" applyBorder="1" applyAlignment="1" applyProtection="1">
      <alignment horizontal="left" vertical="top" wrapText="1"/>
    </xf>
    <xf numFmtId="49" fontId="29" fillId="4" borderId="67" xfId="3" applyNumberFormat="1" applyFont="1" applyFill="1" applyBorder="1" applyAlignment="1" applyProtection="1">
      <alignment horizontal="left" vertical="top" wrapText="1"/>
    </xf>
    <xf numFmtId="49" fontId="29" fillId="4" borderId="64" xfId="3" applyNumberFormat="1" applyFont="1" applyFill="1" applyBorder="1" applyAlignment="1" applyProtection="1">
      <alignment horizontal="left" vertical="top" wrapText="1"/>
    </xf>
    <xf numFmtId="49" fontId="29" fillId="4" borderId="69" xfId="3" applyNumberFormat="1" applyFont="1" applyFill="1" applyBorder="1" applyAlignment="1" applyProtection="1">
      <alignment horizontal="left" vertical="top" wrapText="1"/>
    </xf>
    <xf numFmtId="2" fontId="29" fillId="4" borderId="73" xfId="0" applyNumberFormat="1" applyFont="1" applyFill="1" applyBorder="1" applyAlignment="1">
      <alignment horizontal="center" vertical="top" wrapText="1"/>
    </xf>
    <xf numFmtId="2" fontId="17" fillId="4" borderId="69" xfId="0" applyNumberFormat="1" applyFont="1" applyFill="1" applyBorder="1" applyAlignment="1">
      <alignment horizontal="center" vertical="top" wrapText="1"/>
    </xf>
    <xf numFmtId="2" fontId="17" fillId="4" borderId="64" xfId="0" applyNumberFormat="1" applyFont="1" applyFill="1" applyBorder="1" applyAlignment="1">
      <alignment horizontal="center" vertical="top" wrapText="1"/>
    </xf>
    <xf numFmtId="49" fontId="29" fillId="0" borderId="64" xfId="3" applyNumberFormat="1" applyFont="1" applyFill="1" applyBorder="1" applyAlignment="1" applyProtection="1">
      <alignment horizontal="left" vertical="top" wrapText="1"/>
    </xf>
    <xf numFmtId="2" fontId="17" fillId="4" borderId="69" xfId="0" applyNumberFormat="1" applyFont="1" applyFill="1" applyBorder="1" applyAlignment="1">
      <alignment horizontal="center" vertical="center" wrapText="1"/>
    </xf>
    <xf numFmtId="0" fontId="20" fillId="7" borderId="62" xfId="2" applyFont="1" applyFill="1" applyBorder="1" applyAlignment="1">
      <alignment vertical="center" wrapText="1"/>
    </xf>
    <xf numFmtId="0" fontId="20" fillId="7" borderId="62" xfId="2" applyFont="1" applyFill="1" applyBorder="1" applyAlignment="1">
      <alignment horizontal="center" vertical="center" wrapText="1"/>
    </xf>
    <xf numFmtId="0" fontId="20" fillId="4" borderId="74" xfId="2" applyFont="1" applyFill="1" applyBorder="1" applyAlignment="1">
      <alignment horizontal="left" vertical="center" wrapText="1"/>
    </xf>
    <xf numFmtId="49" fontId="29" fillId="4" borderId="16" xfId="0" applyNumberFormat="1" applyFont="1" applyFill="1" applyBorder="1" applyAlignment="1">
      <alignment horizontal="left" vertical="top" wrapText="1"/>
    </xf>
    <xf numFmtId="0" fontId="29" fillId="4" borderId="74" xfId="0" applyFont="1" applyFill="1" applyBorder="1" applyAlignment="1">
      <alignment horizontal="center" vertical="top" wrapText="1"/>
    </xf>
    <xf numFmtId="2" fontId="29" fillId="4" borderId="74" xfId="0" applyNumberFormat="1" applyFont="1" applyFill="1" applyBorder="1" applyAlignment="1">
      <alignment horizontal="center" vertical="top" wrapText="1"/>
    </xf>
    <xf numFmtId="2" fontId="17" fillId="4" borderId="65" xfId="3" applyNumberFormat="1" applyFont="1" applyFill="1" applyBorder="1" applyAlignment="1" applyProtection="1">
      <alignment horizontal="center" vertical="top" wrapText="1"/>
    </xf>
    <xf numFmtId="0" fontId="19" fillId="0" borderId="75" xfId="2" applyFont="1" applyBorder="1"/>
    <xf numFmtId="2" fontId="29" fillId="4" borderId="17" xfId="3" applyNumberFormat="1" applyFont="1" applyFill="1" applyBorder="1" applyAlignment="1" applyProtection="1">
      <alignment horizontal="left" vertical="top" wrapText="1"/>
    </xf>
    <xf numFmtId="0" fontId="29" fillId="4" borderId="75" xfId="0" applyFont="1" applyFill="1" applyBorder="1" applyAlignment="1">
      <alignment horizontal="center" vertical="top" wrapText="1"/>
    </xf>
    <xf numFmtId="2" fontId="29" fillId="4" borderId="75" xfId="0" applyNumberFormat="1" applyFont="1" applyFill="1" applyBorder="1" applyAlignment="1">
      <alignment horizontal="center" vertical="top" wrapText="1"/>
    </xf>
    <xf numFmtId="0" fontId="19" fillId="0" borderId="76" xfId="2" applyFont="1" applyBorder="1"/>
    <xf numFmtId="2" fontId="29" fillId="4" borderId="77" xfId="3" applyNumberFormat="1" applyFont="1" applyFill="1" applyBorder="1" applyAlignment="1" applyProtection="1">
      <alignment horizontal="left" vertical="top" wrapText="1"/>
    </xf>
    <xf numFmtId="2" fontId="29" fillId="4" borderId="76" xfId="0" applyNumberFormat="1" applyFont="1" applyFill="1" applyBorder="1" applyAlignment="1">
      <alignment horizontal="center" vertical="top" wrapText="1"/>
    </xf>
    <xf numFmtId="0" fontId="20" fillId="0" borderId="74" xfId="2" applyFont="1" applyBorder="1"/>
    <xf numFmtId="2" fontId="29" fillId="4" borderId="78" xfId="3" applyNumberFormat="1" applyFont="1" applyFill="1" applyBorder="1" applyAlignment="1" applyProtection="1">
      <alignment horizontal="left" vertical="top" wrapText="1"/>
    </xf>
    <xf numFmtId="0" fontId="29" fillId="4" borderId="76" xfId="0" applyFont="1" applyFill="1" applyBorder="1" applyAlignment="1">
      <alignment horizontal="center" vertical="top" wrapText="1"/>
    </xf>
    <xf numFmtId="2" fontId="17" fillId="4" borderId="79" xfId="0" applyNumberFormat="1" applyFont="1" applyFill="1" applyBorder="1" applyAlignment="1">
      <alignment horizontal="center" vertical="top" wrapText="1"/>
    </xf>
    <xf numFmtId="0" fontId="19" fillId="0" borderId="0" xfId="3" applyNumberFormat="1" applyFont="1" applyFill="1" applyBorder="1" applyAlignment="1">
      <alignment horizontal="right"/>
    </xf>
    <xf numFmtId="0" fontId="31" fillId="4" borderId="0" xfId="4" applyFont="1" applyFill="1"/>
    <xf numFmtId="0" fontId="6" fillId="4" borderId="0" xfId="4" quotePrefix="1" applyFont="1" applyFill="1" applyAlignment="1">
      <alignment horizontal="right"/>
    </xf>
    <xf numFmtId="0" fontId="31" fillId="0" borderId="0" xfId="4" applyFont="1"/>
    <xf numFmtId="0" fontId="1" fillId="0" borderId="0" xfId="4"/>
    <xf numFmtId="0" fontId="19" fillId="4" borderId="0" xfId="4" applyFont="1" applyFill="1"/>
    <xf numFmtId="0" fontId="32" fillId="0" borderId="0" xfId="4" applyFont="1"/>
    <xf numFmtId="0" fontId="31" fillId="0" borderId="0" xfId="4" applyFont="1" applyAlignment="1">
      <alignment vertical="center"/>
    </xf>
    <xf numFmtId="0" fontId="20" fillId="4" borderId="0" xfId="4" applyFont="1" applyFill="1"/>
    <xf numFmtId="0" fontId="20" fillId="7" borderId="74" xfId="3" applyNumberFormat="1" applyFont="1" applyFill="1" applyBorder="1" applyAlignment="1" applyProtection="1">
      <alignment horizontal="center" vertical="center" wrapText="1"/>
    </xf>
    <xf numFmtId="0" fontId="20" fillId="4" borderId="4" xfId="4" applyFont="1" applyFill="1" applyBorder="1"/>
    <xf numFmtId="0" fontId="19" fillId="4" borderId="74" xfId="4" applyFont="1" applyFill="1" applyBorder="1"/>
    <xf numFmtId="2" fontId="17" fillId="4" borderId="75" xfId="0" applyNumberFormat="1" applyFont="1" applyFill="1" applyBorder="1" applyAlignment="1">
      <alignment horizontal="center" vertical="top" wrapText="1"/>
    </xf>
    <xf numFmtId="0" fontId="20" fillId="4" borderId="9" xfId="4" applyFont="1" applyFill="1" applyBorder="1"/>
    <xf numFmtId="0" fontId="19" fillId="4" borderId="75" xfId="4" applyFont="1" applyFill="1" applyBorder="1"/>
    <xf numFmtId="0" fontId="2" fillId="0" borderId="0" xfId="4" applyFont="1"/>
    <xf numFmtId="0" fontId="20" fillId="4" borderId="76" xfId="4" applyFont="1" applyFill="1" applyBorder="1"/>
    <xf numFmtId="0" fontId="19" fillId="4" borderId="76" xfId="4" applyFont="1" applyFill="1" applyBorder="1"/>
    <xf numFmtId="2" fontId="29" fillId="4" borderId="80" xfId="0" applyNumberFormat="1" applyFont="1" applyFill="1" applyBorder="1" applyAlignment="1">
      <alignment horizontal="center" vertical="top" wrapText="1"/>
    </xf>
    <xf numFmtId="2" fontId="17" fillId="4" borderId="80" xfId="0" applyNumberFormat="1" applyFont="1" applyFill="1" applyBorder="1" applyAlignment="1">
      <alignment horizontal="center" vertical="top" wrapText="1"/>
    </xf>
    <xf numFmtId="2" fontId="29" fillId="4" borderId="81" xfId="0" applyNumberFormat="1" applyFont="1" applyFill="1" applyBorder="1" applyAlignment="1">
      <alignment horizontal="center" vertical="top" wrapText="1"/>
    </xf>
    <xf numFmtId="2" fontId="17" fillId="4" borderId="76" xfId="0" applyNumberFormat="1" applyFont="1" applyFill="1" applyBorder="1" applyAlignment="1">
      <alignment horizontal="center" vertical="top" wrapText="1"/>
    </xf>
    <xf numFmtId="49" fontId="29" fillId="4" borderId="64" xfId="0" applyNumberFormat="1" applyFont="1" applyFill="1" applyBorder="1" applyAlignment="1">
      <alignment horizontal="left" vertical="top" wrapText="1"/>
    </xf>
    <xf numFmtId="2" fontId="29" fillId="4" borderId="75" xfId="0" quotePrefix="1" applyNumberFormat="1" applyFont="1" applyFill="1" applyBorder="1" applyAlignment="1">
      <alignment horizontal="center" vertical="top" wrapText="1"/>
    </xf>
    <xf numFmtId="0" fontId="20" fillId="4" borderId="28" xfId="4" applyFont="1" applyFill="1" applyBorder="1"/>
    <xf numFmtId="49" fontId="29" fillId="4" borderId="67" xfId="0" applyNumberFormat="1" applyFont="1" applyFill="1" applyBorder="1" applyAlignment="1">
      <alignment horizontal="left" vertical="top" wrapText="1"/>
    </xf>
    <xf numFmtId="0" fontId="20" fillId="4" borderId="62" xfId="4" applyFont="1" applyFill="1" applyBorder="1"/>
    <xf numFmtId="2" fontId="29" fillId="4" borderId="82" xfId="0" applyNumberFormat="1" applyFont="1" applyFill="1" applyBorder="1" applyAlignment="1">
      <alignment horizontal="center" vertical="top" wrapText="1"/>
    </xf>
    <xf numFmtId="0" fontId="20" fillId="4" borderId="9" xfId="4" applyFont="1" applyFill="1" applyBorder="1" applyAlignment="1">
      <alignment horizontal="left"/>
    </xf>
    <xf numFmtId="0" fontId="19" fillId="4" borderId="74" xfId="4" applyFont="1" applyFill="1" applyBorder="1" applyAlignment="1">
      <alignment vertical="center"/>
    </xf>
    <xf numFmtId="0" fontId="19" fillId="4" borderId="75" xfId="4" applyFont="1" applyFill="1" applyBorder="1" applyAlignment="1">
      <alignment vertical="center"/>
    </xf>
    <xf numFmtId="14" fontId="20" fillId="4" borderId="28" xfId="4" applyNumberFormat="1" applyFont="1" applyFill="1" applyBorder="1" applyAlignment="1">
      <alignment horizontal="left"/>
    </xf>
    <xf numFmtId="0" fontId="19" fillId="4" borderId="76" xfId="4" applyFont="1" applyFill="1" applyBorder="1" applyAlignment="1">
      <alignment vertical="center"/>
    </xf>
    <xf numFmtId="0" fontId="20" fillId="4" borderId="83" xfId="4" applyFont="1" applyFill="1" applyBorder="1" applyAlignment="1">
      <alignment horizontal="left"/>
    </xf>
    <xf numFmtId="0" fontId="19" fillId="4" borderId="0" xfId="5" applyFont="1" applyFill="1" applyAlignment="1">
      <alignment horizontal="center" vertical="center"/>
    </xf>
    <xf numFmtId="0" fontId="19" fillId="4" borderId="0" xfId="5" applyFont="1" applyFill="1"/>
    <xf numFmtId="0" fontId="34" fillId="4" borderId="0" xfId="5" applyFont="1" applyFill="1"/>
    <xf numFmtId="37" fontId="20" fillId="4" borderId="0" xfId="5" quotePrefix="1" applyNumberFormat="1" applyFont="1" applyFill="1" applyAlignment="1">
      <alignment horizontal="center"/>
    </xf>
    <xf numFmtId="37" fontId="20" fillId="4" borderId="0" xfId="5" quotePrefix="1" applyNumberFormat="1" applyFont="1" applyFill="1" applyAlignment="1">
      <alignment horizontal="right"/>
    </xf>
    <xf numFmtId="37" fontId="6" fillId="4" borderId="0" xfId="5" quotePrefix="1" applyNumberFormat="1" applyFont="1" applyFill="1" applyAlignment="1">
      <alignment horizontal="right"/>
    </xf>
    <xf numFmtId="37" fontId="35" fillId="4" borderId="0" xfId="5" quotePrefix="1" applyNumberFormat="1" applyFont="1" applyFill="1" applyAlignment="1">
      <alignment horizontal="right"/>
    </xf>
    <xf numFmtId="165" fontId="34" fillId="0" borderId="0" xfId="6" applyFont="1" applyAlignment="1">
      <alignment horizontal="center"/>
    </xf>
    <xf numFmtId="0" fontId="7" fillId="0" borderId="29" xfId="2" applyFont="1" applyBorder="1" applyAlignment="1">
      <alignment horizontal="left" vertical="top" wrapText="1"/>
    </xf>
    <xf numFmtId="166" fontId="35" fillId="4" borderId="0" xfId="5" applyNumberFormat="1" applyFont="1" applyFill="1" applyAlignment="1">
      <alignment horizontal="center"/>
    </xf>
    <xf numFmtId="166" fontId="12" fillId="4" borderId="0" xfId="5" quotePrefix="1" applyNumberFormat="1" applyFont="1" applyFill="1" applyAlignment="1">
      <alignment horizontal="center"/>
    </xf>
    <xf numFmtId="166" fontId="7" fillId="4" borderId="0" xfId="5" applyNumberFormat="1" applyFont="1" applyFill="1"/>
    <xf numFmtId="166" fontId="7" fillId="4" borderId="29" xfId="5" applyNumberFormat="1" applyFont="1" applyFill="1" applyBorder="1"/>
    <xf numFmtId="166" fontId="37" fillId="4" borderId="0" xfId="5" applyNumberFormat="1" applyFont="1" applyFill="1" applyAlignment="1">
      <alignment horizontal="center"/>
    </xf>
    <xf numFmtId="166" fontId="20" fillId="8" borderId="38" xfId="5" applyNumberFormat="1" applyFont="1" applyFill="1" applyBorder="1" applyAlignment="1">
      <alignment horizontal="center"/>
    </xf>
    <xf numFmtId="166" fontId="20" fillId="8" borderId="6" xfId="5" quotePrefix="1" applyNumberFormat="1" applyFont="1" applyFill="1" applyBorder="1" applyAlignment="1">
      <alignment horizontal="center"/>
    </xf>
    <xf numFmtId="166" fontId="20" fillId="8" borderId="6" xfId="5" applyNumberFormat="1" applyFont="1" applyFill="1" applyBorder="1" applyAlignment="1">
      <alignment horizontal="center"/>
    </xf>
    <xf numFmtId="166" fontId="20" fillId="8" borderId="84" xfId="5" applyNumberFormat="1" applyFont="1" applyFill="1" applyBorder="1" applyAlignment="1">
      <alignment horizontal="left"/>
    </xf>
    <xf numFmtId="166" fontId="20" fillId="8" borderId="5" xfId="5" applyNumberFormat="1" applyFont="1" applyFill="1" applyBorder="1"/>
    <xf numFmtId="166" fontId="20" fillId="8" borderId="5" xfId="5" applyNumberFormat="1" applyFont="1" applyFill="1" applyBorder="1" applyAlignment="1">
      <alignment horizontal="left"/>
    </xf>
    <xf numFmtId="166" fontId="20" fillId="8" borderId="55" xfId="5" applyNumberFormat="1" applyFont="1" applyFill="1" applyBorder="1"/>
    <xf numFmtId="166" fontId="20" fillId="8" borderId="57" xfId="5" applyNumberFormat="1" applyFont="1" applyFill="1" applyBorder="1"/>
    <xf numFmtId="166" fontId="35" fillId="9" borderId="0" xfId="5" applyNumberFormat="1" applyFont="1" applyFill="1"/>
    <xf numFmtId="166" fontId="20" fillId="8" borderId="37" xfId="5" applyNumberFormat="1" applyFont="1" applyFill="1" applyBorder="1"/>
    <xf numFmtId="166" fontId="20" fillId="8" borderId="52" xfId="5" applyNumberFormat="1" applyFont="1" applyFill="1" applyBorder="1"/>
    <xf numFmtId="166" fontId="20" fillId="8" borderId="52" xfId="5" applyNumberFormat="1" applyFont="1" applyFill="1" applyBorder="1" applyAlignment="1">
      <alignment horizontal="center"/>
    </xf>
    <xf numFmtId="167" fontId="20" fillId="7" borderId="53" xfId="5" applyNumberFormat="1" applyFont="1" applyFill="1" applyBorder="1" applyAlignment="1">
      <alignment horizontal="center"/>
    </xf>
    <xf numFmtId="167" fontId="20" fillId="10" borderId="85" xfId="5" applyNumberFormat="1" applyFont="1" applyFill="1" applyBorder="1" applyAlignment="1">
      <alignment horizontal="center"/>
    </xf>
    <xf numFmtId="167" fontId="35" fillId="4" borderId="0" xfId="5" applyNumberFormat="1" applyFont="1" applyFill="1" applyAlignment="1">
      <alignment horizontal="center"/>
    </xf>
    <xf numFmtId="166" fontId="20" fillId="4" borderId="86" xfId="5" applyNumberFormat="1" applyFont="1" applyFill="1" applyBorder="1" applyAlignment="1">
      <alignment horizontal="center" vertical="center"/>
    </xf>
    <xf numFmtId="166" fontId="20" fillId="4" borderId="87" xfId="5" applyNumberFormat="1" applyFont="1" applyFill="1" applyBorder="1" applyAlignment="1">
      <alignment horizontal="center" vertical="center"/>
    </xf>
    <xf numFmtId="166" fontId="20" fillId="4" borderId="53" xfId="5" applyNumberFormat="1" applyFont="1" applyFill="1" applyBorder="1" applyAlignment="1">
      <alignment horizontal="center" vertical="center"/>
    </xf>
    <xf numFmtId="2" fontId="19" fillId="4" borderId="53" xfId="5" applyNumberFormat="1" applyFont="1" applyFill="1" applyBorder="1" applyAlignment="1">
      <alignment horizontal="center" vertical="center"/>
    </xf>
    <xf numFmtId="2" fontId="19" fillId="4" borderId="53" xfId="5" quotePrefix="1" applyNumberFormat="1" applyFont="1" applyFill="1" applyBorder="1" applyAlignment="1">
      <alignment horizontal="center" vertical="center"/>
    </xf>
    <xf numFmtId="2" fontId="19" fillId="4" borderId="54" xfId="5" quotePrefix="1" applyNumberFormat="1" applyFont="1" applyFill="1" applyBorder="1" applyAlignment="1">
      <alignment horizontal="center" vertical="center"/>
    </xf>
    <xf numFmtId="0" fontId="20" fillId="4" borderId="61" xfId="5" quotePrefix="1" applyFont="1" applyFill="1" applyBorder="1" applyAlignment="1">
      <alignment horizontal="center" vertical="center"/>
    </xf>
    <xf numFmtId="39" fontId="35" fillId="4" borderId="0" xfId="5" applyNumberFormat="1" applyFont="1" applyFill="1" applyAlignment="1">
      <alignment horizontal="center" vertical="center"/>
    </xf>
    <xf numFmtId="0" fontId="34" fillId="4" borderId="0" xfId="5" applyFont="1" applyFill="1" applyAlignment="1">
      <alignment vertical="center"/>
    </xf>
    <xf numFmtId="166" fontId="20" fillId="4" borderId="37" xfId="5" applyNumberFormat="1" applyFont="1" applyFill="1" applyBorder="1" applyAlignment="1">
      <alignment horizontal="center" vertical="center"/>
    </xf>
    <xf numFmtId="2" fontId="20" fillId="4" borderId="61" xfId="5" quotePrefix="1" applyNumberFormat="1" applyFont="1" applyFill="1" applyBorder="1" applyAlignment="1">
      <alignment horizontal="center" vertical="center"/>
    </xf>
    <xf numFmtId="166" fontId="20" fillId="4" borderId="88" xfId="5" applyNumberFormat="1" applyFont="1" applyFill="1" applyBorder="1" applyAlignment="1">
      <alignment horizontal="center" vertical="center"/>
    </xf>
    <xf numFmtId="2" fontId="19" fillId="4" borderId="89" xfId="5" applyNumberFormat="1" applyFont="1" applyFill="1" applyBorder="1" applyAlignment="1">
      <alignment horizontal="center" vertical="center"/>
    </xf>
    <xf numFmtId="2" fontId="19" fillId="4" borderId="89" xfId="5" quotePrefix="1" applyNumberFormat="1" applyFont="1" applyFill="1" applyBorder="1" applyAlignment="1">
      <alignment horizontal="center" vertical="center"/>
    </xf>
    <xf numFmtId="2" fontId="19" fillId="4" borderId="90" xfId="5" quotePrefix="1" applyNumberFormat="1" applyFont="1" applyFill="1" applyBorder="1" applyAlignment="1">
      <alignment horizontal="center" vertical="center"/>
    </xf>
    <xf numFmtId="2" fontId="20" fillId="4" borderId="91" xfId="5" quotePrefix="1" applyNumberFormat="1" applyFont="1" applyFill="1" applyBorder="1" applyAlignment="1">
      <alignment horizontal="center" vertical="center"/>
    </xf>
    <xf numFmtId="166" fontId="20" fillId="4" borderId="89" xfId="5" applyNumberFormat="1" applyFont="1" applyFill="1" applyBorder="1" applyAlignment="1">
      <alignment horizontal="center" vertical="center"/>
    </xf>
    <xf numFmtId="2" fontId="19" fillId="4" borderId="92" xfId="5" quotePrefix="1" applyNumberFormat="1" applyFont="1" applyFill="1" applyBorder="1" applyAlignment="1">
      <alignment horizontal="center" vertical="center"/>
    </xf>
    <xf numFmtId="2" fontId="20" fillId="4" borderId="85" xfId="5" quotePrefix="1" applyNumberFormat="1" applyFont="1" applyFill="1" applyBorder="1" applyAlignment="1">
      <alignment horizontal="center" vertical="center"/>
    </xf>
    <xf numFmtId="166" fontId="20" fillId="4" borderId="39" xfId="5" applyNumberFormat="1" applyFont="1" applyFill="1" applyBorder="1" applyAlignment="1">
      <alignment horizontal="center" vertical="center"/>
    </xf>
    <xf numFmtId="166" fontId="20" fillId="4" borderId="93" xfId="5" applyNumberFormat="1" applyFont="1" applyFill="1" applyBorder="1" applyAlignment="1">
      <alignment horizontal="center" vertical="center"/>
    </xf>
    <xf numFmtId="166" fontId="19" fillId="4" borderId="93" xfId="5" applyNumberFormat="1" applyFont="1" applyFill="1" applyBorder="1" applyAlignment="1">
      <alignment horizontal="center" vertical="center"/>
    </xf>
    <xf numFmtId="166" fontId="19" fillId="4" borderId="94" xfId="5" applyNumberFormat="1" applyFont="1" applyFill="1" applyBorder="1" applyAlignment="1">
      <alignment horizontal="center" vertical="center"/>
    </xf>
    <xf numFmtId="166" fontId="20" fillId="4" borderId="95" xfId="5" applyNumberFormat="1" applyFont="1" applyFill="1" applyBorder="1" applyAlignment="1">
      <alignment horizontal="center" vertical="center"/>
    </xf>
    <xf numFmtId="166" fontId="20" fillId="4" borderId="0" xfId="5" applyNumberFormat="1" applyFont="1" applyFill="1" applyAlignment="1">
      <alignment horizontal="center"/>
    </xf>
    <xf numFmtId="166" fontId="20" fillId="8" borderId="56" xfId="5" applyNumberFormat="1" applyFont="1" applyFill="1" applyBorder="1" applyAlignment="1">
      <alignment horizontal="left"/>
    </xf>
    <xf numFmtId="166" fontId="20" fillId="8" borderId="55" xfId="5" applyNumberFormat="1" applyFont="1" applyFill="1" applyBorder="1" applyAlignment="1">
      <alignment horizontal="left"/>
    </xf>
    <xf numFmtId="166" fontId="20" fillId="8" borderId="8" xfId="5" applyNumberFormat="1" applyFont="1" applyFill="1" applyBorder="1"/>
    <xf numFmtId="166" fontId="20" fillId="8" borderId="10" xfId="5" applyNumberFormat="1" applyFont="1" applyFill="1" applyBorder="1"/>
    <xf numFmtId="166" fontId="20" fillId="8" borderId="10" xfId="5" applyNumberFormat="1" applyFont="1" applyFill="1" applyBorder="1" applyAlignment="1">
      <alignment horizontal="center"/>
    </xf>
    <xf numFmtId="167" fontId="20" fillId="7" borderId="89" xfId="5" applyNumberFormat="1" applyFont="1" applyFill="1" applyBorder="1" applyAlignment="1">
      <alignment horizontal="center"/>
    </xf>
    <xf numFmtId="167" fontId="20" fillId="7" borderId="92" xfId="5" applyNumberFormat="1" applyFont="1" applyFill="1" applyBorder="1" applyAlignment="1">
      <alignment horizontal="center"/>
    </xf>
    <xf numFmtId="167" fontId="20" fillId="7" borderId="96" xfId="5" applyNumberFormat="1" applyFont="1" applyFill="1" applyBorder="1" applyAlignment="1">
      <alignment horizontal="center"/>
    </xf>
    <xf numFmtId="166" fontId="19" fillId="4" borderId="53" xfId="5" applyNumberFormat="1" applyFont="1" applyFill="1" applyBorder="1" applyAlignment="1">
      <alignment horizontal="center" vertical="center"/>
    </xf>
    <xf numFmtId="166" fontId="19" fillId="4" borderId="60" xfId="5" applyNumberFormat="1" applyFont="1" applyFill="1" applyBorder="1" applyAlignment="1">
      <alignment horizontal="center" vertical="center"/>
    </xf>
    <xf numFmtId="166" fontId="20" fillId="4" borderId="85" xfId="5" applyNumberFormat="1" applyFont="1" applyFill="1" applyBorder="1" applyAlignment="1">
      <alignment horizontal="center" vertical="center"/>
    </xf>
    <xf numFmtId="166" fontId="19" fillId="4" borderId="89" xfId="5" applyNumberFormat="1" applyFont="1" applyFill="1" applyBorder="1" applyAlignment="1">
      <alignment horizontal="center" vertical="center"/>
    </xf>
    <xf numFmtId="166" fontId="19" fillId="4" borderId="92" xfId="5" applyNumberFormat="1" applyFont="1" applyFill="1" applyBorder="1" applyAlignment="1">
      <alignment horizontal="center" vertical="center"/>
    </xf>
    <xf numFmtId="166" fontId="20" fillId="4" borderId="96" xfId="5" applyNumberFormat="1" applyFont="1" applyFill="1" applyBorder="1" applyAlignment="1">
      <alignment horizontal="center" vertical="center"/>
    </xf>
    <xf numFmtId="166" fontId="20" fillId="4" borderId="40" xfId="5" applyNumberFormat="1" applyFont="1" applyFill="1" applyBorder="1" applyAlignment="1">
      <alignment horizontal="center" vertical="center"/>
    </xf>
    <xf numFmtId="166" fontId="19" fillId="4" borderId="40" xfId="5" applyNumberFormat="1" applyFont="1" applyFill="1" applyBorder="1" applyAlignment="1">
      <alignment horizontal="center" vertical="center"/>
    </xf>
    <xf numFmtId="166" fontId="19" fillId="4" borderId="20" xfId="5" applyNumberFormat="1" applyFont="1" applyFill="1" applyBorder="1" applyAlignment="1">
      <alignment horizontal="center" vertical="center"/>
    </xf>
    <xf numFmtId="166" fontId="20" fillId="4" borderId="76" xfId="5" applyNumberFormat="1" applyFont="1" applyFill="1" applyBorder="1" applyAlignment="1">
      <alignment horizontal="center" vertical="center"/>
    </xf>
    <xf numFmtId="166" fontId="20" fillId="10" borderId="6" xfId="5" quotePrefix="1" applyNumberFormat="1" applyFont="1" applyFill="1" applyBorder="1" applyAlignment="1">
      <alignment horizontal="center"/>
    </xf>
    <xf numFmtId="166" fontId="20" fillId="10" borderId="6" xfId="5" applyNumberFormat="1" applyFont="1" applyFill="1" applyBorder="1" applyAlignment="1">
      <alignment horizontal="center"/>
    </xf>
    <xf numFmtId="166" fontId="20" fillId="10" borderId="56" xfId="5" applyNumberFormat="1" applyFont="1" applyFill="1" applyBorder="1" applyAlignment="1">
      <alignment horizontal="left"/>
    </xf>
    <xf numFmtId="166" fontId="20" fillId="10" borderId="55" xfId="5" applyNumberFormat="1" applyFont="1" applyFill="1" applyBorder="1"/>
    <xf numFmtId="166" fontId="20" fillId="10" borderId="55" xfId="5" applyNumberFormat="1" applyFont="1" applyFill="1" applyBorder="1" applyAlignment="1">
      <alignment horizontal="left"/>
    </xf>
    <xf numFmtId="166" fontId="20" fillId="10" borderId="8" xfId="5" applyNumberFormat="1" applyFont="1" applyFill="1" applyBorder="1"/>
    <xf numFmtId="166" fontId="20" fillId="8" borderId="51" xfId="5" applyNumberFormat="1" applyFont="1" applyFill="1" applyBorder="1"/>
    <xf numFmtId="166" fontId="20" fillId="10" borderId="10" xfId="5" applyNumberFormat="1" applyFont="1" applyFill="1" applyBorder="1"/>
    <xf numFmtId="166" fontId="20" fillId="10" borderId="10" xfId="5" applyNumberFormat="1" applyFont="1" applyFill="1" applyBorder="1" applyAlignment="1">
      <alignment horizontal="center"/>
    </xf>
    <xf numFmtId="167" fontId="20" fillId="10" borderId="89" xfId="5" applyNumberFormat="1" applyFont="1" applyFill="1" applyBorder="1" applyAlignment="1">
      <alignment horizontal="center"/>
    </xf>
    <xf numFmtId="167" fontId="20" fillId="10" borderId="92" xfId="5" applyNumberFormat="1" applyFont="1" applyFill="1" applyBorder="1" applyAlignment="1">
      <alignment horizontal="center"/>
    </xf>
    <xf numFmtId="167" fontId="20" fillId="10" borderId="96" xfId="5" applyNumberFormat="1" applyFont="1" applyFill="1" applyBorder="1" applyAlignment="1">
      <alignment horizontal="center"/>
    </xf>
    <xf numFmtId="166" fontId="20" fillId="4" borderId="97" xfId="5" applyNumberFormat="1" applyFont="1" applyFill="1" applyBorder="1" applyAlignment="1">
      <alignment horizontal="center" vertical="center"/>
    </xf>
    <xf numFmtId="0" fontId="23" fillId="4" borderId="0" xfId="5" applyFont="1" applyFill="1" applyAlignment="1">
      <alignment horizontal="center" vertical="center"/>
    </xf>
    <xf numFmtId="0" fontId="23" fillId="4" borderId="0" xfId="5" applyFont="1" applyFill="1"/>
    <xf numFmtId="166" fontId="7" fillId="4" borderId="0" xfId="5" applyNumberFormat="1" applyFont="1" applyFill="1" applyAlignment="1">
      <alignment horizontal="center"/>
    </xf>
    <xf numFmtId="166" fontId="12" fillId="4" borderId="0" xfId="5" applyNumberFormat="1" applyFont="1" applyFill="1" applyAlignment="1">
      <alignment horizontal="center"/>
    </xf>
    <xf numFmtId="0" fontId="4" fillId="4" borderId="0" xfId="5" applyFont="1" applyFill="1" applyAlignment="1">
      <alignment horizontal="center"/>
    </xf>
    <xf numFmtId="166" fontId="6" fillId="4" borderId="0" xfId="5" applyNumberFormat="1" applyFont="1" applyFill="1" applyAlignment="1">
      <alignment horizontal="center"/>
    </xf>
    <xf numFmtId="166" fontId="35" fillId="11" borderId="0" xfId="5" applyNumberFormat="1" applyFont="1" applyFill="1" applyAlignment="1">
      <alignment horizontal="center"/>
    </xf>
    <xf numFmtId="166" fontId="20" fillId="8" borderId="98" xfId="5" applyNumberFormat="1" applyFont="1" applyFill="1" applyBorder="1" applyAlignment="1">
      <alignment horizontal="center"/>
    </xf>
    <xf numFmtId="166" fontId="20" fillId="8" borderId="52" xfId="5" applyNumberFormat="1" applyFont="1" applyFill="1" applyBorder="1" applyAlignment="1">
      <alignment horizontal="center" vertical="center"/>
    </xf>
    <xf numFmtId="167" fontId="20" fillId="7" borderId="99" xfId="5" applyNumberFormat="1" applyFont="1" applyFill="1" applyBorder="1" applyAlignment="1">
      <alignment horizontal="center" vertical="center"/>
    </xf>
    <xf numFmtId="166" fontId="20" fillId="4" borderId="58" xfId="5" applyNumberFormat="1" applyFont="1" applyFill="1" applyBorder="1" applyAlignment="1">
      <alignment horizontal="center" vertical="center"/>
    </xf>
    <xf numFmtId="2" fontId="20" fillId="4" borderId="54" xfId="5" applyNumberFormat="1" applyFont="1" applyFill="1" applyBorder="1" applyAlignment="1">
      <alignment horizontal="center" vertical="center"/>
    </xf>
    <xf numFmtId="2" fontId="33" fillId="4" borderId="0" xfId="6" applyNumberFormat="1" applyFont="1" applyFill="1" applyAlignment="1">
      <alignment horizontal="center" vertical="center"/>
    </xf>
    <xf numFmtId="166" fontId="20" fillId="4" borderId="52" xfId="5" applyNumberFormat="1" applyFont="1" applyFill="1" applyBorder="1" applyAlignment="1">
      <alignment horizontal="center" vertical="center"/>
    </xf>
    <xf numFmtId="166" fontId="20" fillId="0" borderId="53" xfId="5" applyNumberFormat="1" applyFont="1" applyBorder="1" applyAlignment="1">
      <alignment horizontal="center" vertical="center"/>
    </xf>
    <xf numFmtId="166" fontId="20" fillId="4" borderId="25" xfId="5" applyNumberFormat="1" applyFont="1" applyFill="1" applyBorder="1" applyAlignment="1">
      <alignment horizontal="center" vertical="center"/>
    </xf>
    <xf numFmtId="166" fontId="20" fillId="4" borderId="100" xfId="5" applyNumberFormat="1" applyFont="1" applyFill="1" applyBorder="1" applyAlignment="1">
      <alignment horizontal="center" vertical="center"/>
    </xf>
    <xf numFmtId="166" fontId="20" fillId="4" borderId="100" xfId="5" quotePrefix="1" applyNumberFormat="1" applyFont="1" applyFill="1" applyBorder="1" applyAlignment="1">
      <alignment horizontal="center" vertical="center"/>
    </xf>
    <xf numFmtId="2" fontId="20" fillId="4" borderId="101" xfId="3" applyNumberFormat="1" applyFont="1" applyFill="1" applyBorder="1" applyAlignment="1" applyProtection="1">
      <alignment horizontal="center" vertical="center" wrapText="1"/>
    </xf>
    <xf numFmtId="166" fontId="20" fillId="4" borderId="0" xfId="5" applyNumberFormat="1" applyFont="1" applyFill="1" applyAlignment="1">
      <alignment horizontal="center" vertical="center"/>
    </xf>
    <xf numFmtId="166" fontId="20" fillId="9" borderId="0" xfId="5" applyNumberFormat="1" applyFont="1" applyFill="1" applyAlignment="1">
      <alignment horizontal="center" vertical="center"/>
    </xf>
    <xf numFmtId="166" fontId="20" fillId="9" borderId="0" xfId="5" quotePrefix="1" applyNumberFormat="1" applyFont="1" applyFill="1" applyAlignment="1">
      <alignment horizontal="center" vertical="center"/>
    </xf>
    <xf numFmtId="0" fontId="20" fillId="4" borderId="0" xfId="3" applyNumberFormat="1" applyFont="1" applyFill="1" applyBorder="1" applyAlignment="1" applyProtection="1">
      <alignment horizontal="center" vertical="center" wrapText="1"/>
    </xf>
    <xf numFmtId="0" fontId="19" fillId="4" borderId="0" xfId="5" applyFont="1" applyFill="1" applyAlignment="1">
      <alignment vertical="center"/>
    </xf>
    <xf numFmtId="166" fontId="20" fillId="8" borderId="38" xfId="5" applyNumberFormat="1" applyFont="1" applyFill="1" applyBorder="1" applyAlignment="1">
      <alignment horizontal="center" vertical="center"/>
    </xf>
    <xf numFmtId="166" fontId="20" fillId="8" borderId="6" xfId="5" quotePrefix="1" applyNumberFormat="1" applyFont="1" applyFill="1" applyBorder="1" applyAlignment="1">
      <alignment horizontal="center" vertical="center"/>
    </xf>
    <xf numFmtId="166" fontId="20" fillId="8" borderId="6" xfId="5" applyNumberFormat="1" applyFont="1" applyFill="1" applyBorder="1" applyAlignment="1">
      <alignment horizontal="center" vertical="center"/>
    </xf>
    <xf numFmtId="166" fontId="20" fillId="8" borderId="98" xfId="5" applyNumberFormat="1" applyFont="1" applyFill="1" applyBorder="1" applyAlignment="1">
      <alignment horizontal="center" vertical="center"/>
    </xf>
    <xf numFmtId="166" fontId="35" fillId="9" borderId="0" xfId="5" applyNumberFormat="1" applyFont="1" applyFill="1" applyAlignment="1">
      <alignment vertical="center"/>
    </xf>
    <xf numFmtId="166" fontId="20" fillId="8" borderId="51" xfId="5" applyNumberFormat="1" applyFont="1" applyFill="1" applyBorder="1" applyAlignment="1">
      <alignment vertical="center"/>
    </xf>
    <xf numFmtId="166" fontId="20" fillId="8" borderId="52" xfId="5" applyNumberFormat="1" applyFont="1" applyFill="1" applyBorder="1" applyAlignment="1">
      <alignment vertical="center"/>
    </xf>
    <xf numFmtId="167" fontId="35" fillId="4" borderId="0" xfId="5" applyNumberFormat="1" applyFont="1" applyFill="1" applyAlignment="1">
      <alignment horizontal="center" vertical="center"/>
    </xf>
    <xf numFmtId="166" fontId="20" fillId="4" borderId="102" xfId="5" applyNumberFormat="1" applyFont="1" applyFill="1" applyBorder="1" applyAlignment="1">
      <alignment horizontal="center" vertical="center"/>
    </xf>
    <xf numFmtId="166" fontId="20" fillId="4" borderId="103" xfId="5" applyNumberFormat="1" applyFont="1" applyFill="1" applyBorder="1" applyAlignment="1">
      <alignment horizontal="center" vertical="center"/>
    </xf>
    <xf numFmtId="166" fontId="20" fillId="4" borderId="103" xfId="5" quotePrefix="1" applyNumberFormat="1" applyFont="1" applyFill="1" applyBorder="1" applyAlignment="1">
      <alignment horizontal="center" vertical="center"/>
    </xf>
    <xf numFmtId="2" fontId="20" fillId="4" borderId="104" xfId="3" applyNumberFormat="1" applyFont="1" applyFill="1" applyBorder="1" applyAlignment="1" applyProtection="1">
      <alignment horizontal="center" vertical="center" wrapText="1"/>
    </xf>
    <xf numFmtId="166" fontId="20" fillId="4" borderId="15" xfId="5" applyNumberFormat="1" applyFont="1" applyFill="1" applyBorder="1" applyAlignment="1">
      <alignment horizontal="center" vertical="center"/>
    </xf>
    <xf numFmtId="166" fontId="20" fillId="4" borderId="105" xfId="5" applyNumberFormat="1" applyFont="1" applyFill="1" applyBorder="1" applyAlignment="1">
      <alignment horizontal="center" vertical="center"/>
    </xf>
    <xf numFmtId="166" fontId="20" fillId="4" borderId="105" xfId="5" quotePrefix="1" applyNumberFormat="1" applyFont="1" applyFill="1" applyBorder="1" applyAlignment="1">
      <alignment horizontal="center" vertical="center"/>
    </xf>
    <xf numFmtId="2" fontId="20" fillId="4" borderId="106" xfId="3" applyNumberFormat="1" applyFont="1" applyFill="1" applyBorder="1" applyAlignment="1" applyProtection="1">
      <alignment horizontal="center" vertical="center" wrapText="1"/>
    </xf>
    <xf numFmtId="166" fontId="20" fillId="4" borderId="107" xfId="5" applyNumberFormat="1" applyFont="1" applyFill="1" applyBorder="1" applyAlignment="1">
      <alignment horizontal="center" vertical="center"/>
    </xf>
    <xf numFmtId="166" fontId="20" fillId="4" borderId="107" xfId="5" quotePrefix="1" applyNumberFormat="1" applyFont="1" applyFill="1" applyBorder="1" applyAlignment="1">
      <alignment horizontal="center" vertical="center"/>
    </xf>
    <xf numFmtId="2" fontId="20" fillId="4" borderId="108" xfId="3" applyNumberFormat="1" applyFont="1" applyFill="1" applyBorder="1" applyAlignment="1" applyProtection="1">
      <alignment horizontal="center" vertical="center" wrapText="1"/>
    </xf>
    <xf numFmtId="166" fontId="20" fillId="0" borderId="86" xfId="5" applyNumberFormat="1" applyFont="1" applyBorder="1" applyAlignment="1">
      <alignment horizontal="center" vertical="center"/>
    </xf>
    <xf numFmtId="166" fontId="20" fillId="0" borderId="88" xfId="5" applyNumberFormat="1" applyFont="1" applyBorder="1" applyAlignment="1">
      <alignment horizontal="center" vertical="center"/>
    </xf>
    <xf numFmtId="166" fontId="20" fillId="0" borderId="89" xfId="5" applyNumberFormat="1" applyFont="1" applyBorder="1" applyAlignment="1">
      <alignment horizontal="center" vertical="center"/>
    </xf>
    <xf numFmtId="0" fontId="20" fillId="4" borderId="106" xfId="3" applyNumberFormat="1" applyFont="1" applyFill="1" applyBorder="1" applyAlignment="1" applyProtection="1">
      <alignment horizontal="center" vertical="center" wrapText="1"/>
    </xf>
    <xf numFmtId="166" fontId="20" fillId="0" borderId="97" xfId="5" applyNumberFormat="1" applyFont="1" applyBorder="1" applyAlignment="1">
      <alignment horizontal="center" vertical="center"/>
    </xf>
    <xf numFmtId="166" fontId="20" fillId="0" borderId="109" xfId="5" applyNumberFormat="1" applyFont="1" applyBorder="1" applyAlignment="1">
      <alignment horizontal="center" vertical="center"/>
    </xf>
    <xf numFmtId="166" fontId="20" fillId="0" borderId="93" xfId="5" applyNumberFormat="1" applyFont="1" applyBorder="1" applyAlignment="1">
      <alignment horizontal="center" vertical="center"/>
    </xf>
    <xf numFmtId="0" fontId="20" fillId="4" borderId="108" xfId="3" applyNumberFormat="1" applyFont="1" applyFill="1" applyBorder="1" applyAlignment="1" applyProtection="1">
      <alignment horizontal="center" vertical="center" wrapText="1"/>
    </xf>
    <xf numFmtId="0" fontId="22" fillId="4" borderId="0" xfId="5" applyFont="1" applyFill="1" applyAlignment="1">
      <alignment horizontal="center"/>
    </xf>
    <xf numFmtId="0" fontId="4" fillId="4" borderId="0" xfId="5" applyFont="1" applyFill="1"/>
    <xf numFmtId="0" fontId="4" fillId="4" borderId="0" xfId="5" applyFont="1" applyFill="1" applyAlignment="1">
      <alignment vertical="center"/>
    </xf>
    <xf numFmtId="167" fontId="20" fillId="7" borderId="85" xfId="5" applyNumberFormat="1" applyFont="1" applyFill="1" applyBorder="1" applyAlignment="1">
      <alignment horizontal="center"/>
    </xf>
    <xf numFmtId="166" fontId="20" fillId="9" borderId="86" xfId="5" applyNumberFormat="1" applyFont="1" applyFill="1" applyBorder="1" applyAlignment="1">
      <alignment horizontal="center" vertical="center"/>
    </xf>
    <xf numFmtId="166" fontId="20" fillId="9" borderId="52" xfId="5" applyNumberFormat="1" applyFont="1" applyFill="1" applyBorder="1" applyAlignment="1">
      <alignment horizontal="center" vertical="center"/>
    </xf>
    <xf numFmtId="2" fontId="19" fillId="4" borderId="52" xfId="5" applyNumberFormat="1" applyFont="1" applyFill="1" applyBorder="1" applyAlignment="1">
      <alignment horizontal="center" vertical="center"/>
    </xf>
    <xf numFmtId="2" fontId="19" fillId="4" borderId="110" xfId="5" applyNumberFormat="1" applyFont="1" applyFill="1" applyBorder="1" applyAlignment="1">
      <alignment horizontal="center" vertical="center"/>
    </xf>
    <xf numFmtId="2" fontId="20" fillId="4" borderId="111" xfId="5" applyNumberFormat="1" applyFont="1" applyFill="1" applyBorder="1" applyAlignment="1">
      <alignment horizontal="center" vertical="center"/>
    </xf>
    <xf numFmtId="2" fontId="33" fillId="4" borderId="0" xfId="6" applyNumberFormat="1" applyFont="1" applyFill="1" applyAlignment="1">
      <alignment horizontal="center"/>
    </xf>
    <xf numFmtId="166" fontId="20" fillId="9" borderId="51" xfId="5" applyNumberFormat="1" applyFont="1" applyFill="1" applyBorder="1" applyAlignment="1">
      <alignment horizontal="center" vertical="center"/>
    </xf>
    <xf numFmtId="166" fontId="20" fillId="9" borderId="37" xfId="5" applyNumberFormat="1" applyFont="1" applyFill="1" applyBorder="1" applyAlignment="1">
      <alignment horizontal="center" vertical="center"/>
    </xf>
    <xf numFmtId="166" fontId="20" fillId="9" borderId="53" xfId="5" applyNumberFormat="1" applyFont="1" applyFill="1" applyBorder="1" applyAlignment="1">
      <alignment horizontal="center" vertical="center"/>
    </xf>
    <xf numFmtId="2" fontId="19" fillId="4" borderId="60" xfId="5" applyNumberFormat="1" applyFont="1" applyFill="1" applyBorder="1" applyAlignment="1">
      <alignment horizontal="center" vertical="center"/>
    </xf>
    <xf numFmtId="2" fontId="20" fillId="4" borderId="85" xfId="5" applyNumberFormat="1" applyFont="1" applyFill="1" applyBorder="1" applyAlignment="1">
      <alignment horizontal="center" vertical="center"/>
    </xf>
    <xf numFmtId="166" fontId="20" fillId="9" borderId="58" xfId="5" applyNumberFormat="1" applyFont="1" applyFill="1" applyBorder="1" applyAlignment="1">
      <alignment horizontal="center" vertical="center"/>
    </xf>
    <xf numFmtId="0" fontId="22" fillId="4" borderId="0" xfId="5" applyFont="1" applyFill="1" applyAlignment="1">
      <alignment horizontal="center" vertical="top"/>
    </xf>
    <xf numFmtId="2" fontId="19" fillId="0" borderId="53" xfId="5" applyNumberFormat="1" applyFont="1" applyBorder="1" applyAlignment="1">
      <alignment horizontal="center" vertical="center"/>
    </xf>
    <xf numFmtId="2" fontId="19" fillId="0" borderId="60" xfId="5" applyNumberFormat="1" applyFont="1" applyBorder="1" applyAlignment="1">
      <alignment horizontal="center" vertical="center"/>
    </xf>
    <xf numFmtId="2" fontId="20" fillId="0" borderId="85" xfId="5" applyNumberFormat="1" applyFont="1" applyBorder="1" applyAlignment="1">
      <alignment horizontal="center" vertical="center"/>
    </xf>
    <xf numFmtId="0" fontId="34" fillId="4" borderId="0" xfId="5" applyFont="1" applyFill="1" applyAlignment="1">
      <alignment vertical="top"/>
    </xf>
    <xf numFmtId="2" fontId="33" fillId="4" borderId="0" xfId="6" applyNumberFormat="1" applyFont="1" applyFill="1" applyAlignment="1">
      <alignment horizontal="center" vertical="top"/>
    </xf>
    <xf numFmtId="2" fontId="19" fillId="0" borderId="53" xfId="5" quotePrefix="1" applyNumberFormat="1" applyFont="1" applyBorder="1" applyAlignment="1">
      <alignment horizontal="center" vertical="center"/>
    </xf>
    <xf numFmtId="2" fontId="19" fillId="0" borderId="60" xfId="5" quotePrefix="1" applyNumberFormat="1" applyFont="1" applyBorder="1" applyAlignment="1">
      <alignment horizontal="center" vertical="center"/>
    </xf>
    <xf numFmtId="166" fontId="20" fillId="9" borderId="87" xfId="5" applyNumberFormat="1" applyFont="1" applyFill="1" applyBorder="1" applyAlignment="1">
      <alignment horizontal="center" vertical="center"/>
    </xf>
    <xf numFmtId="2" fontId="19" fillId="4" borderId="60" xfId="5" quotePrefix="1" applyNumberFormat="1" applyFont="1" applyFill="1" applyBorder="1" applyAlignment="1">
      <alignment horizontal="center" vertical="center"/>
    </xf>
    <xf numFmtId="0" fontId="22" fillId="0" borderId="0" xfId="5" applyFont="1" applyAlignment="1">
      <alignment horizontal="center" vertical="top"/>
    </xf>
    <xf numFmtId="166" fontId="20" fillId="0" borderId="37" xfId="5" applyNumberFormat="1" applyFont="1" applyBorder="1" applyAlignment="1">
      <alignment horizontal="center" vertical="center"/>
    </xf>
    <xf numFmtId="166" fontId="20" fillId="0" borderId="87" xfId="5" applyNumberFormat="1" applyFont="1" applyBorder="1" applyAlignment="1">
      <alignment horizontal="center" vertical="center"/>
    </xf>
    <xf numFmtId="0" fontId="34" fillId="0" borderId="0" xfId="5" applyFont="1" applyAlignment="1">
      <alignment vertical="top"/>
    </xf>
    <xf numFmtId="2" fontId="33" fillId="0" borderId="0" xfId="6" applyNumberFormat="1" applyFont="1" applyAlignment="1">
      <alignment horizontal="center" vertical="top"/>
    </xf>
    <xf numFmtId="2" fontId="20" fillId="4" borderId="96" xfId="5" applyNumberFormat="1" applyFont="1" applyFill="1" applyBorder="1" applyAlignment="1">
      <alignment horizontal="center" vertical="center"/>
    </xf>
    <xf numFmtId="2" fontId="20" fillId="4" borderId="93" xfId="5" applyNumberFormat="1" applyFont="1" applyFill="1" applyBorder="1" applyAlignment="1">
      <alignment horizontal="center" vertical="center"/>
    </xf>
    <xf numFmtId="2" fontId="19" fillId="4" borderId="93" xfId="5" applyNumberFormat="1" applyFont="1" applyFill="1" applyBorder="1" applyAlignment="1">
      <alignment horizontal="center" vertical="center"/>
    </xf>
    <xf numFmtId="2" fontId="19" fillId="4" borderId="112" xfId="5" applyNumberFormat="1" applyFont="1" applyFill="1" applyBorder="1" applyAlignment="1">
      <alignment horizontal="center" vertical="center"/>
    </xf>
    <xf numFmtId="2" fontId="20" fillId="4" borderId="95" xfId="5" applyNumberFormat="1" applyFont="1" applyFill="1" applyBorder="1" applyAlignment="1">
      <alignment horizontal="center" vertical="center"/>
    </xf>
    <xf numFmtId="0" fontId="38" fillId="4" borderId="0" xfId="5" applyFont="1" applyFill="1"/>
    <xf numFmtId="0" fontId="4" fillId="4" borderId="0" xfId="5" applyFont="1" applyFill="1" applyAlignment="1">
      <alignment horizontal="center" vertical="center"/>
    </xf>
    <xf numFmtId="166" fontId="35" fillId="12" borderId="0" xfId="5" applyNumberFormat="1" applyFont="1" applyFill="1"/>
    <xf numFmtId="167" fontId="35" fillId="11" borderId="0" xfId="5" applyNumberFormat="1" applyFont="1" applyFill="1" applyAlignment="1">
      <alignment horizontal="center"/>
    </xf>
    <xf numFmtId="39" fontId="35" fillId="4" borderId="0" xfId="5" applyNumberFormat="1" applyFont="1" applyFill="1" applyAlignment="1">
      <alignment horizontal="center"/>
    </xf>
    <xf numFmtId="2" fontId="39" fillId="0" borderId="0" xfId="6" applyNumberFormat="1" applyFont="1" applyAlignment="1">
      <alignment horizontal="center"/>
    </xf>
    <xf numFmtId="0" fontId="4" fillId="4" borderId="0" xfId="5" applyFont="1" applyFill="1" applyAlignment="1">
      <alignment horizontal="center" vertical="top"/>
    </xf>
    <xf numFmtId="166" fontId="20" fillId="4" borderId="51" xfId="5" applyNumberFormat="1" applyFont="1" applyFill="1" applyBorder="1" applyAlignment="1">
      <alignment horizontal="center" vertical="center"/>
    </xf>
    <xf numFmtId="39" fontId="35" fillId="4" borderId="0" xfId="5" applyNumberFormat="1" applyFont="1" applyFill="1" applyAlignment="1">
      <alignment horizontal="center" vertical="top"/>
    </xf>
    <xf numFmtId="2" fontId="39" fillId="0" borderId="0" xfId="6" applyNumberFormat="1" applyFont="1" applyAlignment="1">
      <alignment horizontal="center" vertical="top"/>
    </xf>
    <xf numFmtId="2" fontId="39" fillId="0" borderId="0" xfId="6" applyNumberFormat="1" applyFont="1" applyAlignment="1">
      <alignment horizontal="center" vertical="center"/>
    </xf>
    <xf numFmtId="166" fontId="20" fillId="4" borderId="58" xfId="5" applyNumberFormat="1" applyFont="1" applyFill="1" applyBorder="1" applyAlignment="1">
      <alignment horizontal="center" vertical="center" wrapText="1"/>
    </xf>
    <xf numFmtId="2" fontId="20" fillId="0" borderId="54" xfId="5" applyNumberFormat="1" applyFont="1" applyBorder="1" applyAlignment="1">
      <alignment horizontal="center" vertical="center"/>
    </xf>
    <xf numFmtId="2" fontId="20" fillId="4" borderId="112" xfId="5" applyNumberFormat="1" applyFont="1" applyFill="1" applyBorder="1" applyAlignment="1">
      <alignment horizontal="center" vertical="center"/>
    </xf>
    <xf numFmtId="0" fontId="3" fillId="0" borderId="0" xfId="3" applyNumberFormat="1" applyFont="1" applyFill="1" applyBorder="1" applyAlignment="1"/>
    <xf numFmtId="166" fontId="6" fillId="4" borderId="0" xfId="5" applyNumberFormat="1" applyFont="1" applyFill="1" applyAlignment="1">
      <alignment horizontal="center" vertical="center"/>
    </xf>
    <xf numFmtId="0" fontId="3" fillId="0" borderId="29" xfId="3" applyNumberFormat="1" applyFont="1" applyFill="1" applyBorder="1" applyAlignment="1"/>
    <xf numFmtId="0" fontId="20" fillId="7" borderId="4" xfId="3" applyNumberFormat="1" applyFont="1" applyFill="1" applyBorder="1" applyAlignment="1"/>
    <xf numFmtId="0" fontId="20" fillId="7" borderId="19" xfId="3" applyNumberFormat="1" applyFont="1" applyFill="1" applyBorder="1" applyAlignment="1"/>
    <xf numFmtId="0" fontId="20" fillId="7" borderId="5" xfId="3" applyNumberFormat="1" applyFont="1" applyFill="1" applyBorder="1" applyAlignment="1"/>
    <xf numFmtId="0" fontId="20" fillId="7" borderId="34" xfId="3" applyNumberFormat="1" applyFont="1" applyFill="1" applyBorder="1" applyAlignment="1"/>
    <xf numFmtId="0" fontId="20" fillId="7" borderId="8" xfId="3" applyNumberFormat="1" applyFont="1" applyFill="1" applyBorder="1" applyAlignment="1">
      <alignment horizontal="center"/>
    </xf>
    <xf numFmtId="0" fontId="20" fillId="7" borderId="9" xfId="3" applyNumberFormat="1" applyFont="1" applyFill="1" applyBorder="1" applyAlignment="1"/>
    <xf numFmtId="0" fontId="20" fillId="7" borderId="22" xfId="3" applyNumberFormat="1" applyFont="1" applyFill="1" applyBorder="1" applyAlignment="1"/>
    <xf numFmtId="0" fontId="20" fillId="7" borderId="0" xfId="3" applyNumberFormat="1" applyFont="1" applyFill="1" applyBorder="1" applyAlignment="1"/>
    <xf numFmtId="0" fontId="20" fillId="7" borderId="35" xfId="3" applyNumberFormat="1" applyFont="1" applyFill="1" applyBorder="1" applyAlignment="1"/>
    <xf numFmtId="0" fontId="20" fillId="7" borderId="12" xfId="3" applyNumberFormat="1" applyFont="1" applyFill="1" applyBorder="1" applyAlignment="1">
      <alignment horizontal="center"/>
    </xf>
    <xf numFmtId="0" fontId="20" fillId="7" borderId="28" xfId="3" applyNumberFormat="1" applyFont="1" applyFill="1" applyBorder="1" applyAlignment="1"/>
    <xf numFmtId="0" fontId="20" fillId="7" borderId="20" xfId="3" applyNumberFormat="1" applyFont="1" applyFill="1" applyBorder="1" applyAlignment="1"/>
    <xf numFmtId="0" fontId="20" fillId="7" borderId="29" xfId="3" applyNumberFormat="1" applyFont="1" applyFill="1" applyBorder="1" applyAlignment="1"/>
    <xf numFmtId="0" fontId="20" fillId="7" borderId="36" xfId="3" applyNumberFormat="1" applyFont="1" applyFill="1" applyBorder="1" applyAlignment="1"/>
    <xf numFmtId="0" fontId="20" fillId="7" borderId="14" xfId="3" applyNumberFormat="1" applyFont="1" applyFill="1" applyBorder="1" applyAlignment="1">
      <alignment horizontal="center"/>
    </xf>
    <xf numFmtId="0" fontId="20" fillId="0" borderId="56" xfId="3" applyNumberFormat="1" applyFont="1" applyFill="1" applyBorder="1" applyAlignment="1"/>
    <xf numFmtId="0" fontId="19" fillId="0" borderId="55" xfId="3" applyNumberFormat="1" applyFont="1" applyFill="1" applyBorder="1" applyAlignment="1"/>
    <xf numFmtId="0" fontId="19" fillId="0" borderId="113" xfId="3" applyNumberFormat="1" applyFont="1" applyFill="1" applyBorder="1" applyAlignment="1"/>
    <xf numFmtId="4" fontId="17" fillId="0" borderId="114" xfId="7" applyNumberFormat="1" applyFont="1" applyBorder="1" applyAlignment="1">
      <alignment horizontal="center" vertical="top" wrapText="1"/>
    </xf>
    <xf numFmtId="4" fontId="17" fillId="4" borderId="114" xfId="7" applyNumberFormat="1" applyFont="1" applyFill="1" applyBorder="1" applyAlignment="1">
      <alignment horizontal="center" vertical="top" wrapText="1"/>
    </xf>
    <xf numFmtId="4" fontId="17" fillId="4" borderId="57" xfId="0" applyNumberFormat="1" applyFont="1" applyFill="1" applyBorder="1" applyAlignment="1">
      <alignment horizontal="center" vertical="top" wrapText="1"/>
    </xf>
    <xf numFmtId="49" fontId="3" fillId="0" borderId="0" xfId="3" applyNumberFormat="1" applyFont="1" applyFill="1" applyBorder="1" applyAlignment="1"/>
    <xf numFmtId="0" fontId="19" fillId="0" borderId="22" xfId="3" applyNumberFormat="1" applyFont="1" applyFill="1" applyBorder="1" applyAlignment="1"/>
    <xf numFmtId="0" fontId="19" fillId="0" borderId="35" xfId="3" applyNumberFormat="1" applyFont="1" applyFill="1" applyBorder="1" applyAlignment="1"/>
    <xf numFmtId="4" fontId="29" fillId="0" borderId="11" xfId="7" applyNumberFormat="1" applyFont="1" applyBorder="1" applyAlignment="1">
      <alignment horizontal="center" vertical="top" wrapText="1"/>
    </xf>
    <xf numFmtId="4" fontId="29" fillId="4" borderId="11" xfId="7" applyNumberFormat="1" applyFont="1" applyFill="1" applyBorder="1" applyAlignment="1">
      <alignment horizontal="center" vertical="top" wrapText="1"/>
    </xf>
    <xf numFmtId="4" fontId="29" fillId="4" borderId="12" xfId="0" applyNumberFormat="1" applyFont="1" applyFill="1" applyBorder="1" applyAlignment="1">
      <alignment horizontal="center" vertical="top" wrapText="1"/>
    </xf>
    <xf numFmtId="0" fontId="19" fillId="0" borderId="110" xfId="3" applyNumberFormat="1" applyFont="1" applyFill="1" applyBorder="1" applyAlignment="1"/>
    <xf numFmtId="0" fontId="19" fillId="0" borderId="115" xfId="3" applyNumberFormat="1" applyFont="1" applyFill="1" applyBorder="1" applyAlignment="1"/>
    <xf numFmtId="0" fontId="19" fillId="0" borderId="116" xfId="3" applyNumberFormat="1" applyFont="1" applyFill="1" applyBorder="1" applyAlignment="1"/>
    <xf numFmtId="0" fontId="20" fillId="0" borderId="110" xfId="3" applyNumberFormat="1" applyFont="1" applyFill="1" applyBorder="1" applyAlignment="1"/>
    <xf numFmtId="4" fontId="17" fillId="0" borderId="117" xfId="7" applyNumberFormat="1" applyFont="1" applyBorder="1" applyAlignment="1">
      <alignment horizontal="center" vertical="top" wrapText="1"/>
    </xf>
    <xf numFmtId="4" fontId="17" fillId="4" borderId="118" xfId="7" applyNumberFormat="1" applyFont="1" applyFill="1" applyBorder="1" applyAlignment="1">
      <alignment horizontal="center" vertical="top" wrapText="1"/>
    </xf>
    <xf numFmtId="4" fontId="17" fillId="4" borderId="61" xfId="0" applyNumberFormat="1" applyFont="1" applyFill="1" applyBorder="1" applyAlignment="1">
      <alignment horizontal="center" vertical="top" wrapText="1"/>
    </xf>
    <xf numFmtId="4" fontId="17" fillId="0" borderId="119" xfId="7" applyNumberFormat="1" applyFont="1" applyBorder="1" applyAlignment="1">
      <alignment horizontal="center" vertical="top" wrapText="1"/>
    </xf>
    <xf numFmtId="4" fontId="17" fillId="4" borderId="119" xfId="7" applyNumberFormat="1" applyFont="1" applyFill="1" applyBorder="1" applyAlignment="1">
      <alignment horizontal="center" vertical="top" wrapText="1"/>
    </xf>
    <xf numFmtId="4" fontId="17" fillId="4" borderId="120" xfId="0" applyNumberFormat="1" applyFont="1" applyFill="1" applyBorder="1" applyAlignment="1">
      <alignment horizontal="center" vertical="top" wrapText="1"/>
    </xf>
    <xf numFmtId="0" fontId="20" fillId="0" borderId="9" xfId="3" applyNumberFormat="1" applyFont="1" applyFill="1" applyBorder="1" applyAlignment="1"/>
    <xf numFmtId="4" fontId="17" fillId="0" borderId="121" xfId="7" applyNumberFormat="1" applyFont="1" applyBorder="1" applyAlignment="1">
      <alignment horizontal="center" vertical="top" wrapText="1"/>
    </xf>
    <xf numFmtId="4" fontId="17" fillId="4" borderId="121" xfId="7" applyNumberFormat="1" applyFont="1" applyFill="1" applyBorder="1" applyAlignment="1">
      <alignment horizontal="center" vertical="top" wrapText="1"/>
    </xf>
    <xf numFmtId="4" fontId="17" fillId="4" borderId="122" xfId="0" applyNumberFormat="1" applyFont="1" applyFill="1" applyBorder="1" applyAlignment="1">
      <alignment horizontal="center" vertical="top" wrapText="1"/>
    </xf>
    <xf numFmtId="0" fontId="19" fillId="0" borderId="46" xfId="3" applyNumberFormat="1" applyFont="1" applyFill="1" applyBorder="1" applyAlignment="1"/>
    <xf numFmtId="0" fontId="19" fillId="0" borderId="9" xfId="3" applyNumberFormat="1" applyFont="1" applyFill="1" applyBorder="1" applyAlignment="1"/>
    <xf numFmtId="0" fontId="19" fillId="0" borderId="99" xfId="3" applyNumberFormat="1" applyFont="1" applyFill="1" applyBorder="1" applyAlignment="1"/>
    <xf numFmtId="0" fontId="19" fillId="0" borderId="123" xfId="3" applyNumberFormat="1" applyFont="1" applyFill="1" applyBorder="1" applyAlignment="1"/>
    <xf numFmtId="0" fontId="19" fillId="0" borderId="75" xfId="3" applyNumberFormat="1" applyFont="1" applyFill="1" applyBorder="1" applyAlignment="1"/>
    <xf numFmtId="0" fontId="19" fillId="0" borderId="37" xfId="3" applyNumberFormat="1" applyFont="1" applyFill="1" applyBorder="1" applyAlignment="1"/>
    <xf numFmtId="0" fontId="20" fillId="0" borderId="28" xfId="3" applyNumberFormat="1" applyFont="1" applyFill="1" applyBorder="1" applyAlignment="1"/>
    <xf numFmtId="0" fontId="19" fillId="0" borderId="20" xfId="3" applyNumberFormat="1" applyFont="1" applyFill="1" applyBorder="1" applyAlignment="1"/>
    <xf numFmtId="0" fontId="19" fillId="0" borderId="29" xfId="3" applyNumberFormat="1" applyFont="1" applyFill="1" applyBorder="1" applyAlignment="1"/>
    <xf numFmtId="0" fontId="19" fillId="0" borderId="36" xfId="3" applyNumberFormat="1" applyFont="1" applyFill="1" applyBorder="1" applyAlignment="1"/>
    <xf numFmtId="4" fontId="29" fillId="0" borderId="13" xfId="7" applyNumberFormat="1" applyFont="1" applyBorder="1" applyAlignment="1">
      <alignment horizontal="center" vertical="top" wrapText="1"/>
    </xf>
    <xf numFmtId="4" fontId="29" fillId="4" borderId="13" xfId="7" applyNumberFormat="1" applyFont="1" applyFill="1" applyBorder="1" applyAlignment="1">
      <alignment horizontal="center" vertical="top" wrapText="1"/>
    </xf>
    <xf numFmtId="4" fontId="29" fillId="4" borderId="14" xfId="0" applyNumberFormat="1" applyFont="1" applyFill="1" applyBorder="1" applyAlignment="1">
      <alignment horizontal="center" vertical="top" wrapText="1"/>
    </xf>
    <xf numFmtId="0" fontId="40" fillId="0" borderId="0" xfId="3" applyNumberFormat="1" applyFont="1" applyFill="1" applyBorder="1" applyAlignment="1"/>
    <xf numFmtId="0" fontId="19" fillId="4" borderId="0" xfId="3" applyNumberFormat="1" applyFont="1" applyFill="1" applyBorder="1" applyAlignment="1" applyProtection="1">
      <alignment horizontal="left" vertical="top" wrapText="1"/>
      <protection locked="0"/>
    </xf>
    <xf numFmtId="0" fontId="20" fillId="7" borderId="124" xfId="3" applyFont="1" applyFill="1" applyBorder="1" applyAlignment="1">
      <alignment vertical="center"/>
    </xf>
    <xf numFmtId="0" fontId="20" fillId="7" borderId="125" xfId="3" applyFont="1" applyFill="1" applyBorder="1" applyAlignment="1">
      <alignment horizontal="center" vertical="center" wrapText="1"/>
    </xf>
    <xf numFmtId="0" fontId="20" fillId="7" borderId="126" xfId="3" applyFont="1" applyFill="1" applyBorder="1" applyAlignment="1">
      <alignment horizontal="center" vertical="center"/>
    </xf>
    <xf numFmtId="0" fontId="19" fillId="4" borderId="127" xfId="3" applyFont="1" applyFill="1" applyBorder="1" applyAlignment="1">
      <alignment vertical="top"/>
    </xf>
    <xf numFmtId="4" fontId="29" fillId="4" borderId="128" xfId="0" applyNumberFormat="1" applyFont="1" applyFill="1" applyBorder="1" applyAlignment="1">
      <alignment horizontal="center" vertical="top" wrapText="1"/>
    </xf>
    <xf numFmtId="4" fontId="20" fillId="4" borderId="12" xfId="3" applyNumberFormat="1" applyFont="1" applyFill="1" applyBorder="1" applyAlignment="1" applyProtection="1">
      <alignment horizontal="center" vertical="top"/>
    </xf>
    <xf numFmtId="0" fontId="19" fillId="4" borderId="9" xfId="3" applyFont="1" applyFill="1" applyBorder="1" applyAlignment="1">
      <alignment vertical="top"/>
    </xf>
    <xf numFmtId="4" fontId="29" fillId="4" borderId="129" xfId="0" applyNumberFormat="1" applyFont="1" applyFill="1" applyBorder="1" applyAlignment="1">
      <alignment horizontal="center" vertical="top" wrapText="1"/>
    </xf>
    <xf numFmtId="0" fontId="19" fillId="4" borderId="28" xfId="3" applyFont="1" applyFill="1" applyBorder="1" applyAlignment="1">
      <alignment vertical="top"/>
    </xf>
    <xf numFmtId="4" fontId="29" fillId="4" borderId="130" xfId="0" applyNumberFormat="1" applyFont="1" applyFill="1" applyBorder="1" applyAlignment="1">
      <alignment horizontal="center" vertical="top" wrapText="1"/>
    </xf>
    <xf numFmtId="4" fontId="20" fillId="4" borderId="14" xfId="3" applyNumberFormat="1" applyFont="1" applyFill="1" applyBorder="1" applyAlignment="1" applyProtection="1">
      <alignment horizontal="center" vertical="top"/>
    </xf>
    <xf numFmtId="0" fontId="19" fillId="4" borderId="0" xfId="3" applyFont="1" applyFill="1" applyBorder="1" applyAlignment="1">
      <alignment vertical="top"/>
    </xf>
    <xf numFmtId="2" fontId="19" fillId="4" borderId="0" xfId="3" applyNumberFormat="1" applyFont="1" applyFill="1" applyBorder="1" applyAlignment="1">
      <alignment horizontal="center" vertical="top"/>
    </xf>
    <xf numFmtId="2" fontId="20" fillId="4" borderId="0" xfId="3" applyNumberFormat="1" applyFont="1" applyFill="1" applyBorder="1" applyAlignment="1" applyProtection="1">
      <alignment horizontal="center" vertical="top"/>
    </xf>
    <xf numFmtId="4" fontId="29" fillId="4" borderId="0" xfId="0" applyNumberFormat="1" applyFont="1" applyFill="1" applyAlignment="1">
      <alignment horizontal="center" vertical="top" wrapText="1"/>
    </xf>
    <xf numFmtId="0" fontId="20" fillId="7" borderId="131" xfId="3" applyFont="1" applyFill="1" applyBorder="1" applyAlignment="1">
      <alignment vertical="center"/>
    </xf>
    <xf numFmtId="0" fontId="20" fillId="7" borderId="57" xfId="3" applyFont="1" applyFill="1" applyBorder="1" applyAlignment="1">
      <alignment horizontal="center" vertical="center"/>
    </xf>
    <xf numFmtId="0" fontId="19" fillId="0" borderId="9" xfId="3" applyNumberFormat="1" applyFont="1" applyFill="1" applyBorder="1" applyAlignment="1" applyProtection="1">
      <alignment horizontal="left" vertical="top"/>
      <protection locked="0"/>
    </xf>
    <xf numFmtId="4" fontId="19" fillId="4" borderId="10" xfId="3" applyNumberFormat="1" applyFont="1" applyFill="1" applyBorder="1" applyAlignment="1" applyProtection="1">
      <alignment horizontal="center" vertical="center"/>
      <protection locked="0"/>
    </xf>
    <xf numFmtId="4" fontId="19" fillId="4" borderId="12" xfId="3" applyNumberFormat="1" applyFont="1" applyFill="1" applyBorder="1" applyAlignment="1" applyProtection="1">
      <alignment horizontal="center" vertical="center"/>
      <protection locked="0"/>
    </xf>
    <xf numFmtId="4" fontId="29" fillId="4" borderId="16" xfId="0" applyNumberFormat="1" applyFont="1" applyFill="1" applyBorder="1" applyAlignment="1">
      <alignment horizontal="center" vertical="top" wrapText="1"/>
    </xf>
    <xf numFmtId="4" fontId="20" fillId="4" borderId="12" xfId="3" applyNumberFormat="1" applyFont="1" applyFill="1" applyBorder="1" applyAlignment="1" applyProtection="1">
      <alignment horizontal="center" vertical="center"/>
    </xf>
    <xf numFmtId="0" fontId="41" fillId="0" borderId="132" xfId="3" applyFont="1" applyFill="1" applyBorder="1" applyAlignment="1">
      <alignment vertical="top"/>
    </xf>
    <xf numFmtId="4" fontId="17" fillId="4" borderId="119" xfId="0" applyNumberFormat="1" applyFont="1" applyFill="1" applyBorder="1" applyAlignment="1">
      <alignment horizontal="center" vertical="top" wrapText="1"/>
    </xf>
    <xf numFmtId="4" fontId="20" fillId="4" borderId="61" xfId="3" applyNumberFormat="1" applyFont="1" applyFill="1" applyBorder="1" applyAlignment="1" applyProtection="1">
      <alignment horizontal="center" vertical="center"/>
    </xf>
    <xf numFmtId="4" fontId="30" fillId="4" borderId="16" xfId="0" applyNumberFormat="1" applyFont="1" applyFill="1" applyBorder="1" applyAlignment="1">
      <alignment horizontal="left" vertical="top" wrapText="1"/>
    </xf>
    <xf numFmtId="4" fontId="20" fillId="4" borderId="12" xfId="3" applyNumberFormat="1" applyFont="1" applyFill="1" applyBorder="1" applyAlignment="1" applyProtection="1">
      <alignment horizontal="center" vertical="center"/>
      <protection locked="0"/>
    </xf>
    <xf numFmtId="0" fontId="41" fillId="4" borderId="133" xfId="3" applyFont="1" applyFill="1" applyBorder="1" applyAlignment="1">
      <alignment vertical="top"/>
    </xf>
    <xf numFmtId="4" fontId="17" fillId="4" borderId="134" xfId="0" applyNumberFormat="1" applyFont="1" applyFill="1" applyBorder="1" applyAlignment="1">
      <alignment horizontal="center" vertical="top" wrapText="1"/>
    </xf>
    <xf numFmtId="4" fontId="20" fillId="4" borderId="135" xfId="3" applyNumberFormat="1" applyFont="1" applyFill="1" applyBorder="1" applyAlignment="1" applyProtection="1">
      <alignment horizontal="center" vertical="center"/>
    </xf>
    <xf numFmtId="0" fontId="41" fillId="4" borderId="0" xfId="3" applyFont="1" applyFill="1" applyBorder="1" applyAlignment="1">
      <alignment vertical="top"/>
    </xf>
    <xf numFmtId="0" fontId="42" fillId="4" borderId="0" xfId="3" applyFont="1" applyFill="1" applyBorder="1" applyAlignment="1">
      <alignment horizontal="center" vertical="center"/>
    </xf>
    <xf numFmtId="0" fontId="42" fillId="4" borderId="0" xfId="3" applyNumberFormat="1" applyFont="1" applyFill="1" applyBorder="1" applyAlignment="1" applyProtection="1">
      <alignment horizontal="center" vertical="center"/>
    </xf>
    <xf numFmtId="0" fontId="20" fillId="7" borderId="49" xfId="3" applyFont="1" applyFill="1" applyBorder="1" applyAlignment="1">
      <alignment horizontal="center" vertical="center" wrapText="1"/>
    </xf>
    <xf numFmtId="4" fontId="29" fillId="4" borderId="10" xfId="0" applyNumberFormat="1" applyFont="1" applyFill="1" applyBorder="1" applyAlignment="1">
      <alignment horizontal="center" vertical="top" wrapText="1"/>
    </xf>
    <xf numFmtId="4" fontId="17" fillId="4" borderId="12" xfId="0" applyNumberFormat="1" applyFont="1" applyFill="1" applyBorder="1" applyAlignment="1">
      <alignment horizontal="center" vertical="top" wrapText="1"/>
    </xf>
    <xf numFmtId="4" fontId="29" fillId="4" borderId="40" xfId="0" applyNumberFormat="1" applyFont="1" applyFill="1" applyBorder="1" applyAlignment="1">
      <alignment horizontal="center" vertical="top" wrapText="1"/>
    </xf>
    <xf numFmtId="4" fontId="17" fillId="4" borderId="14" xfId="0" applyNumberFormat="1" applyFont="1" applyFill="1" applyBorder="1" applyAlignment="1">
      <alignment horizontal="center" vertical="top" wrapText="1"/>
    </xf>
    <xf numFmtId="0" fontId="43" fillId="4" borderId="0" xfId="3" applyNumberFormat="1" applyFont="1" applyFill="1" applyBorder="1" applyAlignment="1" applyProtection="1">
      <alignment horizontal="left" vertical="top" wrapText="1"/>
      <protection locked="0"/>
    </xf>
    <xf numFmtId="0" fontId="13" fillId="4" borderId="0" xfId="3" applyNumberFormat="1" applyFont="1" applyFill="1" applyBorder="1" applyAlignment="1" applyProtection="1">
      <alignment horizontal="left" vertical="top" wrapText="1"/>
      <protection locked="0"/>
    </xf>
    <xf numFmtId="0" fontId="44" fillId="4" borderId="0" xfId="3" applyNumberFormat="1" applyFont="1" applyFill="1" applyBorder="1" applyAlignment="1" applyProtection="1">
      <alignment horizontal="right" vertical="top" wrapText="1"/>
    </xf>
    <xf numFmtId="0" fontId="43" fillId="0" borderId="0" xfId="3" applyNumberFormat="1" applyFont="1" applyFill="1" applyBorder="1" applyAlignment="1"/>
    <xf numFmtId="0" fontId="6" fillId="4" borderId="0" xfId="3" quotePrefix="1" applyNumberFormat="1" applyFont="1" applyFill="1" applyBorder="1" applyAlignment="1" applyProtection="1">
      <alignment horizontal="right" vertical="top" wrapText="1"/>
      <protection locked="0"/>
    </xf>
    <xf numFmtId="0" fontId="43" fillId="4" borderId="0" xfId="3" applyNumberFormat="1" applyFont="1" applyFill="1" applyBorder="1" applyAlignment="1" applyProtection="1">
      <alignment horizontal="left" vertical="top"/>
      <protection locked="0"/>
    </xf>
    <xf numFmtId="0" fontId="20" fillId="7" borderId="139" xfId="3" applyFont="1" applyFill="1" applyBorder="1" applyAlignment="1">
      <alignment horizontal="center" vertical="center" wrapText="1"/>
    </xf>
    <xf numFmtId="0" fontId="20" fillId="7" borderId="139" xfId="3" applyFont="1" applyFill="1" applyBorder="1" applyAlignment="1">
      <alignment horizontal="center" vertical="center"/>
    </xf>
    <xf numFmtId="0" fontId="20" fillId="7" borderId="140" xfId="3" applyFont="1" applyFill="1" applyBorder="1" applyAlignment="1">
      <alignment horizontal="center" vertical="center"/>
    </xf>
    <xf numFmtId="0" fontId="20" fillId="4" borderId="141" xfId="3" applyFont="1" applyFill="1" applyBorder="1" applyAlignment="1">
      <alignment horizontal="center" vertical="center" wrapText="1"/>
    </xf>
    <xf numFmtId="2" fontId="19" fillId="4" borderId="142" xfId="3" applyNumberFormat="1" applyFont="1" applyFill="1" applyBorder="1" applyAlignment="1">
      <alignment horizontal="center" vertical="center" wrapText="1"/>
    </xf>
    <xf numFmtId="2" fontId="20" fillId="4" borderId="142" xfId="3" applyNumberFormat="1" applyFont="1" applyFill="1" applyBorder="1" applyAlignment="1">
      <alignment horizontal="center" vertical="center" wrapText="1"/>
    </xf>
    <xf numFmtId="0" fontId="20" fillId="7" borderId="16" xfId="3" applyFont="1" applyFill="1" applyBorder="1" applyAlignment="1">
      <alignment horizontal="center" vertical="center" wrapText="1"/>
    </xf>
    <xf numFmtId="0" fontId="20" fillId="7" borderId="16" xfId="3" applyFont="1" applyFill="1" applyBorder="1" applyAlignment="1">
      <alignment horizontal="center" vertical="center"/>
    </xf>
    <xf numFmtId="0" fontId="20" fillId="7" borderId="45" xfId="3" applyFont="1" applyFill="1" applyBorder="1" applyAlignment="1">
      <alignment horizontal="center" vertical="center"/>
    </xf>
    <xf numFmtId="0" fontId="19" fillId="0" borderId="143" xfId="3" applyNumberFormat="1" applyFont="1" applyFill="1" applyBorder="1" applyAlignment="1">
      <alignment vertical="center"/>
    </xf>
    <xf numFmtId="2" fontId="29" fillId="4" borderId="53" xfId="0" applyNumberFormat="1" applyFont="1" applyFill="1" applyBorder="1" applyAlignment="1">
      <alignment horizontal="center" vertical="center" wrapText="1"/>
    </xf>
    <xf numFmtId="2" fontId="17" fillId="4" borderId="53" xfId="0" applyNumberFormat="1" applyFont="1" applyFill="1" applyBorder="1" applyAlignment="1">
      <alignment horizontal="center" vertical="center" wrapText="1"/>
    </xf>
    <xf numFmtId="2" fontId="17" fillId="4" borderId="54" xfId="0" applyNumberFormat="1" applyFont="1" applyFill="1" applyBorder="1" applyAlignment="1">
      <alignment horizontal="center" vertical="center" wrapText="1"/>
    </xf>
    <xf numFmtId="0" fontId="19" fillId="0" borderId="144" xfId="3" applyNumberFormat="1" applyFont="1" applyFill="1" applyBorder="1" applyAlignment="1">
      <alignment vertical="center"/>
    </xf>
    <xf numFmtId="2" fontId="29" fillId="4" borderId="93" xfId="0" applyNumberFormat="1" applyFont="1" applyFill="1" applyBorder="1" applyAlignment="1">
      <alignment horizontal="center" vertical="center" wrapText="1"/>
    </xf>
    <xf numFmtId="2" fontId="17" fillId="4" borderId="93" xfId="0" applyNumberFormat="1" applyFont="1" applyFill="1" applyBorder="1" applyAlignment="1">
      <alignment horizontal="center" vertical="center" wrapText="1"/>
    </xf>
    <xf numFmtId="2" fontId="17" fillId="4" borderId="112" xfId="0" applyNumberFormat="1" applyFont="1" applyFill="1" applyBorder="1" applyAlignment="1">
      <alignment horizontal="center" vertical="center" wrapText="1"/>
    </xf>
    <xf numFmtId="0" fontId="10" fillId="0" borderId="0" xfId="3" applyNumberFormat="1" applyFont="1" applyFill="1" applyBorder="1" applyAlignment="1">
      <alignment vertical="center"/>
    </xf>
    <xf numFmtId="0" fontId="46" fillId="4" borderId="0" xfId="3" applyNumberFormat="1" applyFont="1" applyFill="1" applyBorder="1" applyAlignment="1" applyProtection="1">
      <alignment vertical="top"/>
      <protection locked="0"/>
    </xf>
    <xf numFmtId="0" fontId="19" fillId="4" borderId="0" xfId="3" applyNumberFormat="1" applyFont="1" applyFill="1" applyBorder="1" applyAlignment="1" applyProtection="1">
      <alignment horizontal="left" vertical="center" wrapText="1"/>
      <protection locked="0"/>
    </xf>
    <xf numFmtId="0" fontId="20" fillId="7" borderId="145" xfId="3" applyNumberFormat="1" applyFont="1" applyFill="1" applyBorder="1" applyAlignment="1" applyProtection="1">
      <alignment horizontal="left" vertical="center" wrapText="1"/>
    </xf>
    <xf numFmtId="0" fontId="20" fillId="7" borderId="146" xfId="3" applyFont="1" applyFill="1" applyBorder="1" applyAlignment="1">
      <alignment horizontal="center" vertical="center" wrapText="1"/>
    </xf>
    <xf numFmtId="0" fontId="19" fillId="0" borderId="147" xfId="3" applyFont="1" applyFill="1" applyBorder="1" applyAlignment="1">
      <alignment horizontal="left" vertical="top" wrapText="1"/>
    </xf>
    <xf numFmtId="4" fontId="19" fillId="0" borderId="148" xfId="3" applyNumberFormat="1" applyFont="1" applyFill="1" applyBorder="1" applyAlignment="1">
      <alignment horizontal="center" vertical="center" wrapText="1"/>
    </xf>
    <xf numFmtId="4" fontId="20" fillId="0" borderId="149" xfId="3" applyNumberFormat="1" applyFont="1" applyFill="1" applyBorder="1" applyAlignment="1">
      <alignment horizontal="center" vertical="center" wrapText="1"/>
    </xf>
    <xf numFmtId="0" fontId="20" fillId="7" borderId="147" xfId="3" applyNumberFormat="1" applyFont="1" applyFill="1" applyBorder="1" applyAlignment="1" applyProtection="1">
      <alignment horizontal="left" vertical="center" wrapText="1"/>
    </xf>
    <xf numFmtId="4" fontId="19" fillId="7" borderId="53" xfId="3" applyNumberFormat="1" applyFont="1" applyFill="1" applyBorder="1" applyAlignment="1" applyProtection="1">
      <alignment horizontal="center" vertical="center" wrapText="1"/>
      <protection locked="0"/>
    </xf>
    <xf numFmtId="4" fontId="20" fillId="7" borderId="149" xfId="3" applyNumberFormat="1" applyFont="1" applyFill="1" applyBorder="1" applyAlignment="1" applyProtection="1">
      <alignment horizontal="center" vertical="center" wrapText="1"/>
      <protection locked="0"/>
    </xf>
    <xf numFmtId="4" fontId="19" fillId="0" borderId="150" xfId="3" applyNumberFormat="1" applyFont="1" applyFill="1" applyBorder="1" applyAlignment="1">
      <alignment horizontal="center" vertical="center" wrapText="1"/>
    </xf>
    <xf numFmtId="0" fontId="19" fillId="0" borderId="63" xfId="3" applyNumberFormat="1" applyFont="1" applyFill="1" applyBorder="1" applyAlignment="1" applyProtection="1">
      <alignment horizontal="left" vertical="top" wrapText="1"/>
      <protection locked="0"/>
    </xf>
    <xf numFmtId="4" fontId="19" fillId="0" borderId="10" xfId="3" applyNumberFormat="1" applyFont="1" applyFill="1" applyBorder="1" applyAlignment="1" applyProtection="1">
      <alignment horizontal="center" vertical="center" wrapText="1"/>
      <protection locked="0"/>
    </xf>
    <xf numFmtId="4" fontId="20" fillId="0" borderId="65" xfId="3" applyNumberFormat="1" applyFont="1" applyFill="1" applyBorder="1" applyAlignment="1" applyProtection="1">
      <alignment horizontal="center" vertical="center" wrapText="1"/>
      <protection locked="0"/>
    </xf>
    <xf numFmtId="0" fontId="19" fillId="0" borderId="151" xfId="3" applyFont="1" applyFill="1" applyBorder="1" applyAlignment="1">
      <alignment horizontal="left" vertical="top" wrapText="1"/>
    </xf>
    <xf numFmtId="4" fontId="19" fillId="0" borderId="152" xfId="3" applyNumberFormat="1" applyFont="1" applyFill="1" applyBorder="1" applyAlignment="1">
      <alignment horizontal="center" vertical="center" wrapText="1"/>
    </xf>
    <xf numFmtId="4" fontId="20" fillId="0" borderId="153" xfId="3" applyNumberFormat="1" applyFont="1" applyFill="1" applyBorder="1" applyAlignment="1">
      <alignment horizontal="center" vertical="center" wrapText="1"/>
    </xf>
    <xf numFmtId="0" fontId="19" fillId="0" borderId="0" xfId="3" applyNumberFormat="1" applyFont="1" applyFill="1" applyBorder="1" applyAlignment="1" applyProtection="1">
      <alignment horizontal="left" vertical="top" wrapText="1"/>
      <protection locked="0"/>
    </xf>
    <xf numFmtId="4" fontId="29" fillId="4" borderId="148" xfId="0" applyNumberFormat="1" applyFont="1" applyFill="1" applyBorder="1" applyAlignment="1">
      <alignment horizontal="center" vertical="center" wrapText="1"/>
    </xf>
    <xf numFmtId="4" fontId="19" fillId="7" borderId="155" xfId="3" applyNumberFormat="1" applyFont="1" applyFill="1" applyBorder="1" applyAlignment="1" applyProtection="1">
      <alignment horizontal="center" vertical="center" wrapText="1"/>
      <protection locked="0"/>
    </xf>
    <xf numFmtId="4" fontId="20" fillId="7" borderId="156" xfId="3" applyNumberFormat="1" applyFont="1" applyFill="1" applyBorder="1" applyAlignment="1">
      <alignment horizontal="center" vertical="center" wrapText="1"/>
    </xf>
    <xf numFmtId="4" fontId="19" fillId="7" borderId="156" xfId="3" applyNumberFormat="1" applyFont="1" applyFill="1" applyBorder="1" applyAlignment="1">
      <alignment horizontal="center" vertical="center" wrapText="1"/>
    </xf>
    <xf numFmtId="4" fontId="29" fillId="4" borderId="157" xfId="0" applyNumberFormat="1" applyFont="1" applyFill="1" applyBorder="1" applyAlignment="1">
      <alignment horizontal="center" vertical="center" wrapText="1"/>
    </xf>
    <xf numFmtId="4" fontId="20" fillId="0" borderId="156" xfId="3" applyNumberFormat="1" applyFont="1" applyFill="1" applyBorder="1" applyAlignment="1">
      <alignment horizontal="center" vertical="center" wrapText="1"/>
    </xf>
    <xf numFmtId="4" fontId="29" fillId="4" borderId="157" xfId="0" quotePrefix="1" applyNumberFormat="1" applyFont="1" applyFill="1" applyBorder="1" applyAlignment="1">
      <alignment horizontal="center" vertical="center" wrapText="1"/>
    </xf>
    <xf numFmtId="4" fontId="29" fillId="4" borderId="158" xfId="0" applyNumberFormat="1" applyFont="1" applyFill="1" applyBorder="1" applyAlignment="1">
      <alignment horizontal="center" vertical="center" wrapText="1"/>
    </xf>
    <xf numFmtId="4" fontId="20" fillId="0" borderId="159" xfId="3" applyNumberFormat="1" applyFont="1" applyFill="1" applyBorder="1" applyAlignment="1">
      <alignment horizontal="center" vertical="center" wrapText="1"/>
    </xf>
    <xf numFmtId="0" fontId="19" fillId="0" borderId="4" xfId="3" applyNumberFormat="1" applyFont="1" applyFill="1" applyBorder="1" applyAlignment="1"/>
    <xf numFmtId="0" fontId="19" fillId="0" borderId="5" xfId="3" applyNumberFormat="1" applyFont="1" applyFill="1" applyBorder="1" applyAlignment="1"/>
    <xf numFmtId="0" fontId="19" fillId="0" borderId="8" xfId="3" applyNumberFormat="1" applyFont="1" applyFill="1" applyBorder="1" applyAlignment="1"/>
    <xf numFmtId="0" fontId="19" fillId="0" borderId="12" xfId="3" applyNumberFormat="1" applyFont="1" applyFill="1" applyBorder="1" applyAlignment="1"/>
    <xf numFmtId="0" fontId="19" fillId="0" borderId="28" xfId="3" applyNumberFormat="1" applyFont="1" applyFill="1" applyBorder="1" applyAlignment="1"/>
    <xf numFmtId="0" fontId="19" fillId="0" borderId="14" xfId="3" applyNumberFormat="1" applyFont="1" applyFill="1" applyBorder="1" applyAlignment="1"/>
    <xf numFmtId="0" fontId="16" fillId="0" borderId="0" xfId="0" applyFont="1"/>
    <xf numFmtId="0" fontId="49" fillId="0" borderId="0" xfId="8" applyFont="1"/>
    <xf numFmtId="0" fontId="5" fillId="0" borderId="0" xfId="2" applyFont="1" applyAlignment="1">
      <alignment horizontal="left"/>
    </xf>
    <xf numFmtId="0" fontId="7" fillId="0" borderId="0" xfId="2" applyFont="1" applyAlignment="1">
      <alignment horizontal="left" vertical="center" wrapText="1"/>
    </xf>
    <xf numFmtId="0" fontId="6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11" fillId="0" borderId="0" xfId="2" applyFont="1" applyAlignment="1">
      <alignment horizontal="center"/>
    </xf>
    <xf numFmtId="0" fontId="4" fillId="0" borderId="0" xfId="2" applyFont="1" applyAlignment="1">
      <alignment horizontal="left" vertical="center" wrapText="1"/>
    </xf>
    <xf numFmtId="0" fontId="4" fillId="0" borderId="0" xfId="2" applyFont="1" applyAlignment="1">
      <alignment horizontal="left" vertical="top" wrapText="1"/>
    </xf>
    <xf numFmtId="0" fontId="11" fillId="0" borderId="0" xfId="2" applyFont="1" applyAlignment="1">
      <alignment horizontal="center" vertical="top"/>
    </xf>
    <xf numFmtId="2" fontId="4" fillId="0" borderId="20" xfId="2" applyNumberFormat="1" applyFont="1" applyBorder="1" applyAlignment="1">
      <alignment horizontal="center" vertical="center"/>
    </xf>
    <xf numFmtId="2" fontId="4" fillId="0" borderId="29" xfId="2" applyNumberFormat="1" applyFont="1" applyBorder="1" applyAlignment="1">
      <alignment horizontal="center" vertical="center"/>
    </xf>
    <xf numFmtId="2" fontId="4" fillId="0" borderId="14" xfId="2" applyNumberFormat="1" applyFont="1" applyBorder="1" applyAlignment="1">
      <alignment horizontal="center" vertical="center"/>
    </xf>
    <xf numFmtId="2" fontId="4" fillId="0" borderId="56" xfId="2" applyNumberFormat="1" applyFont="1" applyBorder="1" applyAlignment="1">
      <alignment horizontal="center" vertical="center"/>
    </xf>
    <xf numFmtId="2" fontId="4" fillId="0" borderId="55" xfId="2" applyNumberFormat="1" applyFont="1" applyBorder="1" applyAlignment="1">
      <alignment horizontal="center" vertical="center"/>
    </xf>
    <xf numFmtId="2" fontId="4" fillId="0" borderId="57" xfId="2" applyNumberFormat="1" applyFont="1" applyBorder="1" applyAlignment="1">
      <alignment horizontal="center" vertical="center"/>
    </xf>
    <xf numFmtId="2" fontId="4" fillId="0" borderId="60" xfId="2" applyNumberFormat="1" applyFont="1" applyBorder="1" applyAlignment="1">
      <alignment horizontal="center" vertical="center"/>
    </xf>
    <xf numFmtId="2" fontId="4" fillId="0" borderId="59" xfId="2" applyNumberFormat="1" applyFont="1" applyBorder="1" applyAlignment="1">
      <alignment horizontal="center" vertical="center"/>
    </xf>
    <xf numFmtId="2" fontId="4" fillId="0" borderId="61" xfId="2" applyNumberFormat="1" applyFont="1" applyBorder="1" applyAlignment="1">
      <alignment horizontal="center" vertical="center"/>
    </xf>
    <xf numFmtId="0" fontId="28" fillId="0" borderId="0" xfId="3" applyNumberFormat="1" applyFont="1" applyFill="1" applyBorder="1" applyAlignment="1">
      <alignment horizontal="center" vertical="distributed"/>
    </xf>
    <xf numFmtId="0" fontId="5" fillId="0" borderId="0" xfId="2" applyFont="1" applyAlignment="1">
      <alignment horizontal="left" wrapText="1"/>
    </xf>
    <xf numFmtId="0" fontId="13" fillId="0" borderId="0" xfId="3" applyNumberFormat="1" applyFont="1" applyFill="1" applyBorder="1" applyAlignment="1">
      <alignment horizontal="center" vertical="center"/>
    </xf>
    <xf numFmtId="0" fontId="28" fillId="0" borderId="0" xfId="3" applyNumberFormat="1" applyFont="1" applyFill="1" applyBorder="1" applyAlignment="1">
      <alignment horizontal="center" vertical="center"/>
    </xf>
    <xf numFmtId="0" fontId="12" fillId="0" borderId="0" xfId="3" applyNumberFormat="1" applyFont="1" applyFill="1" applyBorder="1" applyAlignment="1">
      <alignment horizontal="center" vertical="center"/>
    </xf>
    <xf numFmtId="0" fontId="27" fillId="0" borderId="0" xfId="3" applyNumberFormat="1" applyFont="1" applyFill="1" applyBorder="1" applyAlignment="1">
      <alignment horizontal="center" vertical="distributed"/>
    </xf>
    <xf numFmtId="0" fontId="27" fillId="0" borderId="29" xfId="3" applyNumberFormat="1" applyFont="1" applyFill="1" applyBorder="1" applyAlignment="1">
      <alignment horizontal="center" vertical="distributed"/>
    </xf>
    <xf numFmtId="0" fontId="12" fillId="0" borderId="0" xfId="3" applyNumberFormat="1" applyFont="1" applyFill="1" applyBorder="1" applyAlignment="1">
      <alignment horizontal="center" vertical="center" wrapText="1"/>
    </xf>
    <xf numFmtId="0" fontId="20" fillId="0" borderId="0" xfId="3" applyNumberFormat="1" applyFont="1" applyFill="1" applyBorder="1" applyAlignment="1">
      <alignment horizontal="center" vertical="distributed"/>
    </xf>
    <xf numFmtId="0" fontId="20" fillId="0" borderId="0" xfId="3" applyNumberFormat="1" applyFont="1" applyFill="1" applyBorder="1" applyAlignment="1">
      <alignment horizontal="center" vertical="distributed" wrapText="1"/>
    </xf>
    <xf numFmtId="0" fontId="20" fillId="0" borderId="29" xfId="3" applyNumberFormat="1" applyFont="1" applyFill="1" applyBorder="1" applyAlignment="1">
      <alignment horizontal="center" vertical="distributed" wrapText="1"/>
    </xf>
    <xf numFmtId="0" fontId="7" fillId="0" borderId="1" xfId="2" applyFont="1" applyBorder="1" applyAlignment="1">
      <alignment horizontal="left" vertical="center" wrapText="1"/>
    </xf>
    <xf numFmtId="0" fontId="7" fillId="0" borderId="2" xfId="2" applyFont="1" applyBorder="1" applyAlignment="1">
      <alignment horizontal="left" vertical="center" wrapText="1"/>
    </xf>
    <xf numFmtId="0" fontId="7" fillId="0" borderId="3" xfId="2" applyFont="1" applyBorder="1" applyAlignment="1">
      <alignment horizontal="left" vertical="center" wrapText="1"/>
    </xf>
    <xf numFmtId="0" fontId="12" fillId="0" borderId="0" xfId="2" applyFont="1" applyAlignment="1">
      <alignment horizontal="center" vertical="center" wrapText="1"/>
    </xf>
    <xf numFmtId="0" fontId="20" fillId="0" borderId="0" xfId="2" applyFont="1" applyAlignment="1">
      <alignment horizontal="center" vertical="center"/>
    </xf>
    <xf numFmtId="2" fontId="20" fillId="4" borderId="1" xfId="2" applyNumberFormat="1" applyFont="1" applyFill="1" applyBorder="1" applyAlignment="1">
      <alignment horizontal="center" vertical="center" wrapText="1"/>
    </xf>
    <xf numFmtId="2" fontId="20" fillId="4" borderId="2" xfId="2" applyNumberFormat="1" applyFont="1" applyFill="1" applyBorder="1" applyAlignment="1">
      <alignment horizontal="center" vertical="center" wrapText="1"/>
    </xf>
    <xf numFmtId="2" fontId="20" fillId="4" borderId="3" xfId="2" applyNumberFormat="1" applyFont="1" applyFill="1" applyBorder="1" applyAlignment="1">
      <alignment horizontal="center" vertical="center" wrapText="1"/>
    </xf>
    <xf numFmtId="0" fontId="20" fillId="4" borderId="0" xfId="4" applyFont="1" applyFill="1" applyAlignment="1">
      <alignment horizontal="center" vertical="center"/>
    </xf>
    <xf numFmtId="0" fontId="5" fillId="0" borderId="0" xfId="2" applyFont="1" applyAlignment="1">
      <alignment horizontal="left" vertical="center" wrapText="1"/>
    </xf>
    <xf numFmtId="0" fontId="7" fillId="0" borderId="29" xfId="2" applyFont="1" applyBorder="1" applyAlignment="1">
      <alignment horizontal="left" vertical="top" wrapText="1"/>
    </xf>
    <xf numFmtId="166" fontId="6" fillId="4" borderId="4" xfId="5" applyNumberFormat="1" applyFont="1" applyFill="1" applyBorder="1" applyAlignment="1">
      <alignment horizontal="center" vertical="center" wrapText="1"/>
    </xf>
    <xf numFmtId="166" fontId="6" fillId="4" borderId="5" xfId="5" applyNumberFormat="1" applyFont="1" applyFill="1" applyBorder="1" applyAlignment="1">
      <alignment horizontal="center" vertical="center" wrapText="1"/>
    </xf>
    <xf numFmtId="166" fontId="6" fillId="4" borderId="8" xfId="5" applyNumberFormat="1" applyFont="1" applyFill="1" applyBorder="1" applyAlignment="1">
      <alignment horizontal="center" vertical="center" wrapText="1"/>
    </xf>
    <xf numFmtId="166" fontId="6" fillId="4" borderId="28" xfId="5" applyNumberFormat="1" applyFont="1" applyFill="1" applyBorder="1" applyAlignment="1">
      <alignment horizontal="center" vertical="center" wrapText="1"/>
    </xf>
    <xf numFmtId="166" fontId="6" fillId="4" borderId="29" xfId="5" applyNumberFormat="1" applyFont="1" applyFill="1" applyBorder="1" applyAlignment="1">
      <alignment horizontal="center" vertical="center" wrapText="1"/>
    </xf>
    <xf numFmtId="166" fontId="6" fillId="4" borderId="14" xfId="5" applyNumberFormat="1" applyFont="1" applyFill="1" applyBorder="1" applyAlignment="1">
      <alignment horizontal="center" vertical="center" wrapText="1"/>
    </xf>
    <xf numFmtId="166" fontId="12" fillId="4" borderId="0" xfId="5" quotePrefix="1" applyNumberFormat="1" applyFont="1" applyFill="1" applyAlignment="1">
      <alignment horizontal="center"/>
    </xf>
    <xf numFmtId="166" fontId="6" fillId="4" borderId="0" xfId="5" applyNumberFormat="1" applyFont="1" applyFill="1" applyAlignment="1">
      <alignment horizontal="center"/>
    </xf>
    <xf numFmtId="166" fontId="6" fillId="4" borderId="1" xfId="5" applyNumberFormat="1" applyFont="1" applyFill="1" applyBorder="1" applyAlignment="1">
      <alignment horizontal="center" vertical="center"/>
    </xf>
    <xf numFmtId="166" fontId="6" fillId="4" borderId="2" xfId="5" applyNumberFormat="1" applyFont="1" applyFill="1" applyBorder="1" applyAlignment="1">
      <alignment horizontal="center" vertical="center"/>
    </xf>
    <xf numFmtId="166" fontId="6" fillId="4" borderId="3" xfId="5" applyNumberFormat="1" applyFont="1" applyFill="1" applyBorder="1" applyAlignment="1">
      <alignment horizontal="center" vertical="center"/>
    </xf>
    <xf numFmtId="166" fontId="7" fillId="4" borderId="0" xfId="5" applyNumberFormat="1" applyFont="1" applyFill="1" applyAlignment="1">
      <alignment horizontal="center"/>
    </xf>
    <xf numFmtId="166" fontId="12" fillId="4" borderId="0" xfId="5" applyNumberFormat="1" applyFont="1" applyFill="1" applyAlignment="1">
      <alignment horizontal="center"/>
    </xf>
    <xf numFmtId="166" fontId="12" fillId="4" borderId="0" xfId="5" quotePrefix="1" applyNumberFormat="1" applyFont="1" applyFill="1" applyAlignment="1">
      <alignment horizontal="center" vertical="center" wrapText="1"/>
    </xf>
    <xf numFmtId="166" fontId="12" fillId="4" borderId="0" xfId="5" applyNumberFormat="1" applyFont="1" applyFill="1" applyAlignment="1">
      <alignment horizontal="center" vertical="center" wrapText="1"/>
    </xf>
    <xf numFmtId="0" fontId="20" fillId="0" borderId="9" xfId="3" applyNumberFormat="1" applyFont="1" applyFill="1" applyBorder="1" applyAlignment="1">
      <alignment horizontal="center" wrapText="1"/>
    </xf>
    <xf numFmtId="0" fontId="20" fillId="0" borderId="4" xfId="3" applyNumberFormat="1" applyFont="1" applyFill="1" applyBorder="1" applyAlignment="1">
      <alignment horizontal="center" wrapText="1"/>
    </xf>
    <xf numFmtId="0" fontId="7" fillId="0" borderId="0" xfId="2" applyFont="1" applyAlignment="1">
      <alignment horizontal="left" vertical="top" wrapText="1"/>
    </xf>
    <xf numFmtId="0" fontId="19" fillId="0" borderId="0" xfId="3" applyNumberFormat="1" applyFont="1" applyFill="1" applyBorder="1" applyAlignment="1">
      <alignment horizontal="center" vertical="center"/>
    </xf>
    <xf numFmtId="0" fontId="20" fillId="7" borderId="6" xfId="3" applyNumberFormat="1" applyFont="1" applyFill="1" applyBorder="1" applyAlignment="1">
      <alignment horizontal="center" vertical="center" wrapText="1"/>
    </xf>
    <xf numFmtId="0" fontId="20" fillId="7" borderId="10" xfId="3" applyNumberFormat="1" applyFont="1" applyFill="1" applyBorder="1" applyAlignment="1">
      <alignment horizontal="center" vertical="center" wrapText="1"/>
    </xf>
    <xf numFmtId="0" fontId="20" fillId="7" borderId="40" xfId="3" applyNumberFormat="1" applyFont="1" applyFill="1" applyBorder="1" applyAlignment="1">
      <alignment horizontal="center" vertical="center" wrapText="1"/>
    </xf>
    <xf numFmtId="0" fontId="10" fillId="4" borderId="0" xfId="3" applyNumberFormat="1" applyFont="1" applyFill="1" applyBorder="1" applyAlignment="1" applyProtection="1">
      <alignment horizontal="center" vertical="center"/>
    </xf>
    <xf numFmtId="166" fontId="6" fillId="4" borderId="0" xfId="5" applyNumberFormat="1" applyFont="1" applyFill="1" applyAlignment="1">
      <alignment horizontal="center" vertical="center"/>
    </xf>
    <xf numFmtId="0" fontId="20" fillId="7" borderId="136" xfId="3" applyFont="1" applyFill="1" applyBorder="1" applyAlignment="1">
      <alignment horizontal="center" vertical="center" wrapText="1"/>
    </xf>
    <xf numFmtId="0" fontId="20" fillId="7" borderId="138" xfId="3" applyFont="1" applyFill="1" applyBorder="1" applyAlignment="1">
      <alignment horizontal="center" vertical="center" wrapText="1"/>
    </xf>
    <xf numFmtId="0" fontId="20" fillId="7" borderId="137" xfId="3" applyFont="1" applyFill="1" applyBorder="1" applyAlignment="1">
      <alignment horizontal="center" vertical="center" wrapText="1"/>
    </xf>
    <xf numFmtId="0" fontId="20" fillId="7" borderId="55" xfId="3" applyFont="1" applyFill="1" applyBorder="1" applyAlignment="1">
      <alignment horizontal="center" vertical="center" wrapText="1"/>
    </xf>
    <xf numFmtId="0" fontId="20" fillId="7" borderId="114" xfId="3" applyFont="1" applyFill="1" applyBorder="1" applyAlignment="1">
      <alignment horizontal="center" vertical="center" wrapText="1"/>
    </xf>
    <xf numFmtId="0" fontId="20" fillId="7" borderId="57" xfId="3" applyFont="1" applyFill="1" applyBorder="1" applyAlignment="1">
      <alignment horizontal="center" vertical="center" wrapText="1"/>
    </xf>
    <xf numFmtId="0" fontId="44" fillId="4" borderId="0" xfId="3" applyNumberFormat="1" applyFont="1" applyFill="1" applyBorder="1" applyAlignment="1" applyProtection="1">
      <alignment horizontal="right" vertical="top" wrapText="1"/>
    </xf>
    <xf numFmtId="0" fontId="43" fillId="0" borderId="0" xfId="3" applyNumberFormat="1" applyFont="1" applyFill="1" applyBorder="1" applyAlignment="1"/>
    <xf numFmtId="0" fontId="10" fillId="4" borderId="0" xfId="3" applyNumberFormat="1" applyFont="1" applyFill="1" applyBorder="1" applyAlignment="1" applyProtection="1">
      <alignment horizontal="center" vertical="top"/>
    </xf>
    <xf numFmtId="0" fontId="20" fillId="0" borderId="154" xfId="3" applyNumberFormat="1" applyFont="1" applyFill="1" applyBorder="1" applyAlignment="1">
      <alignment horizontal="center"/>
    </xf>
    <xf numFmtId="0" fontId="4" fillId="0" borderId="9" xfId="3" applyNumberFormat="1" applyFont="1" applyFill="1" applyBorder="1" applyAlignment="1">
      <alignment horizontal="center" wrapText="1"/>
    </xf>
    <xf numFmtId="0" fontId="4" fillId="0" borderId="0" xfId="3" applyNumberFormat="1" applyFont="1" applyFill="1" applyBorder="1" applyAlignment="1">
      <alignment horizontal="center" wrapText="1"/>
    </xf>
    <xf numFmtId="0" fontId="4" fillId="0" borderId="12" xfId="3" applyNumberFormat="1" applyFont="1" applyFill="1" applyBorder="1" applyAlignment="1">
      <alignment horizontal="center" wrapText="1"/>
    </xf>
    <xf numFmtId="0" fontId="45" fillId="0" borderId="9" xfId="8" applyNumberFormat="1" applyFill="1" applyBorder="1" applyAlignment="1" applyProtection="1">
      <alignment horizontal="center"/>
    </xf>
    <xf numFmtId="0" fontId="48" fillId="0" borderId="0" xfId="9" applyNumberFormat="1" applyFont="1" applyFill="1" applyBorder="1" applyAlignment="1" applyProtection="1">
      <alignment horizontal="center"/>
    </xf>
    <xf numFmtId="0" fontId="48" fillId="0" borderId="12" xfId="9" applyNumberFormat="1" applyFont="1" applyFill="1" applyBorder="1" applyAlignment="1" applyProtection="1">
      <alignment horizontal="center"/>
    </xf>
    <xf numFmtId="0" fontId="12" fillId="4" borderId="0" xfId="3" applyNumberFormat="1" applyFont="1" applyFill="1" applyBorder="1" applyAlignment="1" applyProtection="1">
      <alignment horizontal="center" vertical="center"/>
    </xf>
    <xf numFmtId="0" fontId="20" fillId="0" borderId="0" xfId="3" applyNumberFormat="1" applyFont="1" applyFill="1" applyBorder="1" applyAlignment="1">
      <alignment horizontal="center" vertical="center"/>
    </xf>
    <xf numFmtId="0" fontId="19" fillId="0" borderId="0" xfId="3" applyFont="1" applyFill="1" applyBorder="1" applyAlignment="1">
      <alignment horizontal="left" vertical="top" wrapText="1"/>
    </xf>
  </cellXfs>
  <cellStyles count="10">
    <cellStyle name="Hipervínculo" xfId="8" builtinId="8"/>
    <cellStyle name="Hipervínculo 2" xfId="9" xr:uid="{42B58E08-A37C-4FD7-BB08-B0A011D6631B}"/>
    <cellStyle name="Normal" xfId="0" builtinId="0"/>
    <cellStyle name="Normal 2" xfId="3" xr:uid="{1D8B99D5-89E3-451F-BDC8-4CB957D48245}"/>
    <cellStyle name="Normal 2 2" xfId="2" xr:uid="{B3F0C1E1-122B-4302-AF36-4511897E9B5D}"/>
    <cellStyle name="Normal 3 2" xfId="6" xr:uid="{DC0EB9B1-C336-41F9-BB61-218A730CD701}"/>
    <cellStyle name="Normal 3 3 2" xfId="4" xr:uid="{A73B69D4-248C-4AF6-88C2-5440CCB8835F}"/>
    <cellStyle name="Normal_Pág. 18" xfId="7" xr:uid="{8F92545D-5814-4A33-82FB-2C516B930A70}"/>
    <cellStyle name="Normal_producto intermedio 42-04 2" xfId="5" xr:uid="{29DDF009-B196-4727-A11D-A25AE9712564}"/>
    <cellStyle name="Porcentaje" xfId="1" builtinId="5"/>
  </cellStyles>
  <dxfs count="58"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190499</xdr:colOff>
      <xdr:row>56</xdr:row>
      <xdr:rowOff>209551</xdr:rowOff>
    </xdr:from>
    <xdr:to>
      <xdr:col>6</xdr:col>
      <xdr:colOff>1738311</xdr:colOff>
      <xdr:row>69</xdr:row>
      <xdr:rowOff>104776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6E34115-1086-45AE-ACC2-AA10F81D456C}"/>
            </a:ext>
          </a:extLst>
        </xdr:cNvPr>
        <xdr:cNvSpPr txBox="1"/>
      </xdr:nvSpPr>
      <xdr:spPr>
        <a:xfrm>
          <a:off x="190499" y="13887451"/>
          <a:ext cx="14666912" cy="3940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CEREALES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Se extienden las subidas a todos los cereales en seguimiento: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trigo blando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(0,59 %),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cebada pienso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(0,39 %),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cebada malta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(0,29 %),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trigo duro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(0,69 %)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maíz grano </a:t>
          </a:r>
          <a:r>
            <a:rPr lang="es-ES" sz="1100" b="0" i="0" baseline="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(0,02 %)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 este último de forma casi inapreciable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.</a:t>
          </a: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ARROZ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Todos los tipos en estudio repiten cotización.</a:t>
          </a:r>
          <a:endParaRPr kumimoji="0" lang="es-ES" sz="1100" b="1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SEMILLAS OLEAGINOSAS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Repiten precio ambas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semillas de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girasol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alto oleico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convencional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. Descenso anotado en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colza en grano</a:t>
          </a:r>
          <a:r>
            <a:rPr kumimoji="0" lang="es-ES" sz="11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(-0,39 %).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TORTAS DE GIRASOL Y SOJA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Cotizan al alza tanto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torta de soja</a:t>
          </a:r>
          <a:r>
            <a:rPr kumimoji="0" lang="es-ES" sz="11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(1,09 %) como la de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girasol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(0,64 %).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PROTEICOS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El principal movimiento, de carácter positivo, lo protagoniza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alfalfa en balas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(0,95 %), seguid a por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alfalfa en pellets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(0,58 %) y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habas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(0,09 %). Bajada casi imperceptible en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garbanzos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(-0,02%), repitiendo cotización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guisantes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y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lentejas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VINOS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Comportamiento opuesto en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vino sin DOP/IGP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ásciende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tinto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(5,01 %), mientras, con ligeramente menos fuerza, desciende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blanco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(-4,66 %).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 DE OLIVA Y ORUJO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Siguen las subidas, casi generalizadas, en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aceites de oliva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virgen extra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(1,75 %),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virgen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(0,20 %)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lampante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(0,13 %), así como el de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orujo crudo          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(3,13 %).Para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aceites de oliva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 orujo de oliva refinados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se repiten las cotizaciones de la semana anterior.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ACEITES DE SEMILLAS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Cotizan al alza tanto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 de girasol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alto oleico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(0,90 %) como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convencional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(0,53 %). Tendencia opuesta en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 de soja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cuya cotización desciende, de forma más significativa (-1,82 %).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31982</xdr:colOff>
      <xdr:row>57</xdr:row>
      <xdr:rowOff>539865</xdr:rowOff>
    </xdr:from>
    <xdr:to>
      <xdr:col>6</xdr:col>
      <xdr:colOff>1941426</xdr:colOff>
      <xdr:row>69</xdr:row>
      <xdr:rowOff>166327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AA00428-0B5B-4C1A-83F1-3DA736563F2B}"/>
            </a:ext>
          </a:extLst>
        </xdr:cNvPr>
        <xdr:cNvSpPr txBox="1"/>
      </xdr:nvSpPr>
      <xdr:spPr>
        <a:xfrm>
          <a:off x="247882" y="14840065"/>
          <a:ext cx="12856844" cy="27824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CÍTRICOS (</a:t>
          </a:r>
          <a:r>
            <a:rPr lang="es-ES" sz="1100" b="1">
              <a:solidFill>
                <a:srgbClr val="00B05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lang="es-ES" sz="1100" b="1" i="1">
              <a:solidFill>
                <a:srgbClr val="FF000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Exceptuando los descensos en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los precios medios en árbol de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naranja Navelina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(-2,71 %) y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Lanelate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(-1,97 %), en el resto de productos se observan ascensos: más significativos en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mandarina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(9,26 %) -por el fin de campaña de variedades como clemenvilla y entrada de otras en una horquilla de precios más elevada como Nadorcott y Tango- , y más moderados en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naranja Salustiana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(3,93 %),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clementina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(1,58 %),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naranja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Navel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(0,64 %)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limón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(0,34 %). </a:t>
          </a:r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lang="es-ES" sz="1100" b="1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FRUTA DE PEPITA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Cotizan ligeramente al alza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manzanas Granny Smith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(1,09 %) y ligeramente a la baja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Golden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(-0,73 %), mientras que el resto de productos se encuentran estables: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manzanas Fuji, Gala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y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rojas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 así como las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peras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Blanquilla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Conferencia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.</a:t>
          </a:r>
        </a:p>
        <a:p>
          <a:pPr algn="just"/>
          <a:endParaRPr lang="es-ES" sz="1100" b="1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OTRAS FRUTAS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): Incremento d</a:t>
          </a:r>
          <a:r>
            <a:rPr lang="es-ES" sz="1100" baseline="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 precio medio del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aguacate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(6,83 %) y sin cambios en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plátano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. </a:t>
          </a:r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 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HORTALIZAS (</a:t>
          </a:r>
          <a:r>
            <a:rPr lang="es-ES" sz="1100" b="1">
              <a:solidFill>
                <a:srgbClr val="00B05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Esta semana sobresale el número de los productos de este apartado cuya variación presenta signo positivo con respecto a los que presentan signo negativo; adicionalmente, también es mayor, en general, la magnitud de las variaciones en el primer caso. Encabeza la lista de hortícolas con ascensos relativos más abultados: con un aumento muy relevante,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calabacín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(91,05 %), y le siguen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berenjena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(29,79 %),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brócoli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(29,44 %) y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pepino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(20,34 %), mientras se registra la caída más significativa en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haba verde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(-24,07 %). Por otra parte, continúa la tendencia a la baja, en la cotización media de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patata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(-7,66 %).</a:t>
          </a:r>
        </a:p>
        <a:p>
          <a:pPr algn="just"/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>
            <a:lnSpc>
              <a:spcPct val="100000"/>
            </a:lnSpc>
            <a:spcAft>
              <a:spcPts val="0"/>
            </a:spcAft>
            <a:buNone/>
          </a:pPr>
          <a:r>
            <a:rPr lang="es-ES" sz="1100" b="1" kern="100">
              <a:effectLst/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 </a:t>
          </a:r>
          <a:endParaRPr lang="es-ES" sz="1100" kern="100">
            <a:effectLst/>
            <a:latin typeface="Verdana" panose="020B0604030504040204" pitchFamily="34" charset="0"/>
            <a:ea typeface="Verdana" panose="020B0604030504040204" pitchFamily="34" charset="0"/>
            <a:cs typeface="Times New Roman" panose="02020603050405020304" pitchFamily="18" charset="0"/>
          </a:endParaRPr>
        </a:p>
        <a:p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</a:t>
          </a: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56</xdr:row>
      <xdr:rowOff>342899</xdr:rowOff>
    </xdr:from>
    <xdr:to>
      <xdr:col>6</xdr:col>
      <xdr:colOff>1559299</xdr:colOff>
      <xdr:row>71</xdr:row>
      <xdr:rowOff>57150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0518B30-E961-4C83-975A-4BB08A64ED8A}"/>
            </a:ext>
          </a:extLst>
        </xdr:cNvPr>
        <xdr:cNvSpPr txBox="1"/>
      </xdr:nvSpPr>
      <xdr:spPr>
        <a:xfrm>
          <a:off x="133350" y="14239874"/>
          <a:ext cx="12789274" cy="3867151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VACUNO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Bajan las cotizaciones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vacuno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esta semana en los machos de 12 a 24 meses (-0,56 %) y los animales de 8 a12 meses (-0,43 %); </a:t>
          </a:r>
          <a:r>
            <a:rPr lang="es-ES" sz="11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no varía con respecto a la de la semana previa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la de la ternera. Del mismo modo, los precios de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animales vivos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apenas varían esta semana (-0,04 %).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OVINO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Subida media semanal del 6,55 % para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cordero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PORCINO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Evolución dispar en las cotizaciones semanales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porcino de capa blanca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 con ascensos en las de la Clase E (1,18 %) y, más comedidos, en la Clase U (0,32 %). Para las canales de la Clase S (0,01 %) se registran precios estables y para los de la R bajadas (-1,97 %). En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porcinos cebados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 las diferentes plazas españolas se dividen entre las bajadas y las repeticiones. El precio del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lechón base 20kg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sube de forma apreciable (9,84 %).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 </a:t>
          </a:r>
          <a:endParaRPr kumimoji="0" lang="es-ES" sz="1100" b="0" i="1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POLLOS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: El precio medio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pollo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disminuye esta semana levemente (-0,12 %). Ligeras variaciones también, aunque en este caso al alza, en los precios medios semanales de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cortes de pollo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cuartos traseros (0,08 %) y filetes de pechuga (0,11 %). </a:t>
          </a: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HUEVOS DE GALLINA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Variaciones negativas para todas las cotizaciones semanales de los huevos; de mayor a menor: </a:t>
          </a:r>
          <a:r>
            <a:rPr lang="es-ES" sz="1100" b="1" i="1" baseline="0"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tipo gallina suelta en gallinero </a:t>
          </a:r>
          <a:r>
            <a:rPr lang="es-ES" sz="11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(-12,30 %),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tipo jaula acondicionada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(-7,47 %),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ecológicos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(-4,15 %) y </a:t>
          </a:r>
          <a:r>
            <a:rPr lang="es-ES" sz="1100" b="1" i="1" baseline="0"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tipo campero</a:t>
          </a:r>
          <a:r>
            <a:rPr lang="es-ES" sz="11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(-3,70 %).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CONEJO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Descenso moderado del precio medio del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conejo vivo de granja </a:t>
          </a:r>
          <a:r>
            <a:rPr lang="es-ES" sz="11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(-2,75 %)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PRODUCTOS LÁCTEOS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</a:t>
          </a:r>
          <a:r>
            <a:rPr lang="es-ES" sz="11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Se aprecia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suero de leche en polvo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(8,72 %), al igual que, algo menos,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mantequilla sin sal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(7,77 %). Al contrario, se registra un descenso en la media semanal de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nata 30% de materia grasa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(-2,10 %).</a:t>
          </a: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																																		          		          										                 		   	</a:t>
          </a:r>
          <a:endParaRPr kumimoji="0" lang="es-ES" sz="1100" b="1" i="1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												     				                  	                 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0%20Precios%20coyunturales\1%20Agr&#237;colas\Frutas%20y%20Hortalizas\RG2200-10\Base\SEMANA%201833\BOLETIN\a&#241;o2017\SEMANA%208%20201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0%20Precios%20coyunturales\1%20Agr&#237;colas\Frutas%20y%20Hortalizas\RG2200-10\Base\SEMANA%201833\BOLETIN\a&#241;o2017\SEMANA%208%20201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%20Precios%20coyunturales\1%20Agr&#237;colas\Frutas%20y%20Hortalizas\RG2200-10\Base\SEMANA%201833\BOLETIN\a&#241;o2017\SEMANA%208%20201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G2200-05\CCAA\MAPA-FH-1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a del ajo"/>
      <sheetName val="COMITE FIE"/>
      <sheetName val="CCAA"/>
      <sheetName val="PRECIOS CE"/>
      <sheetName val="ISC FRUTAS"/>
      <sheetName val="ISCHORTALIZ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a del ajo"/>
      <sheetName val="COMITE FIE"/>
      <sheetName val="CCAA"/>
      <sheetName val="PRECIOS CE"/>
      <sheetName val="ISC FRUTAS"/>
      <sheetName val="ISCHORTALIZ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a del ajo"/>
      <sheetName val="COMITE FIE"/>
      <sheetName val="CCAA"/>
      <sheetName val="PRECIOS CE"/>
      <sheetName val="ISC FRUTAS"/>
      <sheetName val="ISCHORTALIZ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il CCAA"/>
    </sheetNames>
    <sheetDataSet>
      <sheetData sheetId="0">
        <row r="3">
          <cell r="B3" t="str">
            <v>DE: MINISTERIO  AGRICULTURA, PESCA  Y  ALIMENTACION. ESPAÑA</v>
          </cell>
        </row>
        <row r="4">
          <cell r="B4" t="str">
            <v>A:   D.G. AGRI DIVISION DE FRUTAS Y HORTALIZAS</v>
          </cell>
        </row>
        <row r="5">
          <cell r="B5" t="str">
            <v xml:space="preserve">        COMUNIDAD ECONOMICA.BRUSELAS.</v>
          </cell>
        </row>
        <row r="6">
          <cell r="B6" t="str">
            <v xml:space="preserve">  Aplicación Rgtos C.E. 2.200/96, 659/97 y 877/04. Cotizaciones en Euros/100Kg.,a salida de </v>
          </cell>
        </row>
        <row r="7">
          <cell r="B7" t="str">
            <v xml:space="preserve">  agrupación de productores, envasado.</v>
          </cell>
        </row>
        <row r="9">
          <cell r="B9" t="str">
            <v>I:FRUTAS</v>
          </cell>
        </row>
        <row r="11">
          <cell r="C11" t="str">
            <v xml:space="preserve">   PERIODO DEL 7 AL 13 DE MARZO DE 2005</v>
          </cell>
        </row>
        <row r="13">
          <cell r="B13" t="str">
            <v xml:space="preserve">I-1 CITRICOS </v>
          </cell>
        </row>
        <row r="16">
          <cell r="B16" t="str">
            <v>PRODUCTO</v>
          </cell>
          <cell r="C16" t="str">
            <v>MERCADO</v>
          </cell>
          <cell r="D16" t="str">
            <v xml:space="preserve">VARIEDAD </v>
          </cell>
          <cell r="E16" t="str">
            <v>CAT.</v>
          </cell>
          <cell r="F16" t="str">
            <v>CALIBRE</v>
          </cell>
          <cell r="G16">
            <v>0</v>
          </cell>
          <cell r="I16" t="str">
            <v>DIA/MES</v>
          </cell>
        </row>
        <row r="17">
          <cell r="D17" t="str">
            <v>O TIPO</v>
          </cell>
          <cell r="F17" t="str">
            <v>mm.</v>
          </cell>
          <cell r="G17">
            <v>38418</v>
          </cell>
          <cell r="H17">
            <v>38419</v>
          </cell>
          <cell r="I17">
            <v>38420</v>
          </cell>
          <cell r="J17">
            <v>38421</v>
          </cell>
          <cell r="K17">
            <v>38422</v>
          </cell>
        </row>
        <row r="19">
          <cell r="B19" t="str">
            <v>LIMON</v>
          </cell>
          <cell r="C19" t="str">
            <v>Alicante</v>
          </cell>
          <cell r="E19" t="str">
            <v>I</v>
          </cell>
          <cell r="F19" t="str">
            <v>1-3</v>
          </cell>
          <cell r="G19">
            <v>68.582036746680714</v>
          </cell>
          <cell r="H19">
            <v>67.996375478328417</v>
          </cell>
          <cell r="I19">
            <v>67.223499502871235</v>
          </cell>
          <cell r="J19">
            <v>66.610862564525434</v>
          </cell>
          <cell r="K19">
            <v>67.485519435311645</v>
          </cell>
        </row>
        <row r="20">
          <cell r="C20" t="str">
            <v>Murcia</v>
          </cell>
          <cell r="E20" t="str">
            <v>I</v>
          </cell>
          <cell r="F20" t="str">
            <v>1-3</v>
          </cell>
          <cell r="G20">
            <v>80</v>
          </cell>
          <cell r="H20">
            <v>80</v>
          </cell>
          <cell r="I20">
            <v>80</v>
          </cell>
          <cell r="J20">
            <v>80</v>
          </cell>
          <cell r="K20">
            <v>80</v>
          </cell>
        </row>
        <row r="23">
          <cell r="B23" t="str">
            <v>MANDARINA</v>
          </cell>
          <cell r="C23" t="str">
            <v>Castellon</v>
          </cell>
          <cell r="E23" t="str">
            <v>I</v>
          </cell>
          <cell r="F23" t="str">
            <v>1X2</v>
          </cell>
          <cell r="G23">
            <v>49.6</v>
          </cell>
          <cell r="H23" t="str">
            <v>-</v>
          </cell>
          <cell r="I23" t="str">
            <v>-</v>
          </cell>
          <cell r="J23">
            <v>49.343181818181819</v>
          </cell>
          <cell r="K23" t="str">
            <v>-</v>
          </cell>
        </row>
        <row r="24">
          <cell r="C24" t="str">
            <v>Valencia</v>
          </cell>
          <cell r="E24" t="str">
            <v>I</v>
          </cell>
          <cell r="F24" t="str">
            <v>1X2</v>
          </cell>
          <cell r="G24">
            <v>53.943358255489954</v>
          </cell>
          <cell r="H24">
            <v>54.889358396636062</v>
          </cell>
          <cell r="I24">
            <v>53.978908636470521</v>
          </cell>
          <cell r="J24">
            <v>53.239904134003645</v>
          </cell>
          <cell r="K24">
            <v>52.332731165810898</v>
          </cell>
        </row>
        <row r="27">
          <cell r="B27" t="str">
            <v>NARANJA</v>
          </cell>
          <cell r="C27" t="str">
            <v>Alicante</v>
          </cell>
          <cell r="D27" t="str">
            <v>Navel</v>
          </cell>
          <cell r="E27" t="str">
            <v>I</v>
          </cell>
          <cell r="F27" t="str">
            <v>2-4</v>
          </cell>
          <cell r="G27">
            <v>39</v>
          </cell>
          <cell r="H27" t="str">
            <v>-</v>
          </cell>
          <cell r="I27">
            <v>40</v>
          </cell>
          <cell r="J27" t="str">
            <v>-</v>
          </cell>
          <cell r="K27">
            <v>40</v>
          </cell>
        </row>
        <row r="28">
          <cell r="C28" t="str">
            <v>Alicante</v>
          </cell>
          <cell r="D28" t="str">
            <v>Navel Late</v>
          </cell>
          <cell r="F28" t="str">
            <v>2-4</v>
          </cell>
          <cell r="G28" t="str">
            <v>-</v>
          </cell>
          <cell r="H28" t="str">
            <v>-</v>
          </cell>
          <cell r="I28">
            <v>48.39685420447671</v>
          </cell>
          <cell r="J28" t="str">
            <v>-</v>
          </cell>
          <cell r="K28" t="str">
            <v>-</v>
          </cell>
        </row>
        <row r="29">
          <cell r="C29" t="str">
            <v>Alicante</v>
          </cell>
          <cell r="D29" t="str">
            <v>Salustiana</v>
          </cell>
          <cell r="E29" t="str">
            <v>I</v>
          </cell>
          <cell r="F29" t="str">
            <v>2-4</v>
          </cell>
          <cell r="G29">
            <v>44.54545454545454</v>
          </cell>
          <cell r="H29">
            <v>43.80952380952381</v>
          </cell>
          <cell r="I29">
            <v>45</v>
          </cell>
          <cell r="J29">
            <v>45</v>
          </cell>
          <cell r="K29">
            <v>45</v>
          </cell>
        </row>
        <row r="30">
          <cell r="C30" t="str">
            <v>Sevilla</v>
          </cell>
          <cell r="D30" t="str">
            <v>Salustiana</v>
          </cell>
          <cell r="E30" t="str">
            <v>I</v>
          </cell>
          <cell r="F30" t="str">
            <v>2-4</v>
          </cell>
          <cell r="G30">
            <v>34</v>
          </cell>
          <cell r="H30">
            <v>33.879586183503875</v>
          </cell>
          <cell r="I30">
            <v>33</v>
          </cell>
          <cell r="J30">
            <v>32.764247150569886</v>
          </cell>
          <cell r="K30" t="str">
            <v>-</v>
          </cell>
        </row>
        <row r="31">
          <cell r="C31" t="str">
            <v>Valencia</v>
          </cell>
          <cell r="D31" t="str">
            <v>Lane Late</v>
          </cell>
          <cell r="E31" t="str">
            <v>I</v>
          </cell>
          <cell r="F31" t="str">
            <v>2-4</v>
          </cell>
          <cell r="G31">
            <v>49.623100000000001</v>
          </cell>
          <cell r="H31">
            <v>50.596499999999999</v>
          </cell>
          <cell r="I31">
            <v>50.475999999999999</v>
          </cell>
          <cell r="J31">
            <v>49.391777777777776</v>
          </cell>
          <cell r="K31">
            <v>48.95069565217392</v>
          </cell>
        </row>
        <row r="32">
          <cell r="C32" t="str">
            <v>Valencia</v>
          </cell>
          <cell r="D32" t="str">
            <v>Navel</v>
          </cell>
          <cell r="E32" t="str">
            <v>I</v>
          </cell>
          <cell r="F32" t="str">
            <v>2-4</v>
          </cell>
          <cell r="G32">
            <v>43.551499999999997</v>
          </cell>
          <cell r="H32">
            <v>43.9465</v>
          </cell>
          <cell r="I32">
            <v>45.418399999999998</v>
          </cell>
          <cell r="J32">
            <v>45.263200000000005</v>
          </cell>
          <cell r="K32">
            <v>45.75</v>
          </cell>
        </row>
        <row r="33">
          <cell r="C33" t="str">
            <v>Valencia</v>
          </cell>
          <cell r="D33" t="str">
            <v>Navel Late</v>
          </cell>
          <cell r="E33" t="str">
            <v>I</v>
          </cell>
          <cell r="F33" t="str">
            <v>2-4</v>
          </cell>
          <cell r="G33">
            <v>55.656382335148223</v>
          </cell>
          <cell r="H33">
            <v>54.153199999999998</v>
          </cell>
          <cell r="I33">
            <v>54.048531289910599</v>
          </cell>
          <cell r="J33">
            <v>53.078105263157894</v>
          </cell>
          <cell r="K33">
            <v>52.043666666666667</v>
          </cell>
        </row>
        <row r="34">
          <cell r="C34" t="str">
            <v>Valencia</v>
          </cell>
          <cell r="D34" t="str">
            <v>Salustiana</v>
          </cell>
          <cell r="E34" t="str">
            <v>I</v>
          </cell>
          <cell r="F34" t="str">
            <v>2-4</v>
          </cell>
          <cell r="G34">
            <v>46.620899999999999</v>
          </cell>
          <cell r="H34" t="str">
            <v>-</v>
          </cell>
          <cell r="I34">
            <v>47.335727272727269</v>
          </cell>
          <cell r="J34">
            <v>47.777777777777779</v>
          </cell>
          <cell r="K34">
            <v>46</v>
          </cell>
        </row>
        <row r="38">
          <cell r="B38" t="str">
            <v>I-2 FRUTAS DE PEPITA</v>
          </cell>
        </row>
        <row r="39">
          <cell r="J39">
            <v>0</v>
          </cell>
        </row>
        <row r="41">
          <cell r="B41" t="str">
            <v>PRODUCTO</v>
          </cell>
          <cell r="C41" t="str">
            <v xml:space="preserve"> MERCADO</v>
          </cell>
          <cell r="D41" t="str">
            <v xml:space="preserve">VARIEDAD </v>
          </cell>
          <cell r="E41" t="str">
            <v>CAT.</v>
          </cell>
          <cell r="F41" t="str">
            <v>CALIBRE</v>
          </cell>
          <cell r="I41" t="str">
            <v>DIA/MES</v>
          </cell>
        </row>
        <row r="42">
          <cell r="D42" t="str">
            <v>O TIPO</v>
          </cell>
          <cell r="F42" t="str">
            <v>mm.</v>
          </cell>
          <cell r="G42">
            <v>38418</v>
          </cell>
          <cell r="H42">
            <v>38419</v>
          </cell>
          <cell r="I42">
            <v>38420</v>
          </cell>
          <cell r="J42">
            <v>38421</v>
          </cell>
          <cell r="K42">
            <v>38422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</row>
        <row r="44">
          <cell r="B44" t="str">
            <v>AGUACATE</v>
          </cell>
          <cell r="C44" t="str">
            <v>Granada</v>
          </cell>
          <cell r="D44" t="str">
            <v>Hass</v>
          </cell>
          <cell r="E44" t="str">
            <v>I</v>
          </cell>
          <cell r="F44" t="str">
            <v>160-200</v>
          </cell>
          <cell r="G44" t="str">
            <v>-</v>
          </cell>
          <cell r="H44" t="str">
            <v>-</v>
          </cell>
          <cell r="I44">
            <v>220.68965517241381</v>
          </cell>
          <cell r="J44">
            <v>207.24377775099316</v>
          </cell>
          <cell r="K44">
            <v>192.28358577834268</v>
          </cell>
        </row>
        <row r="47">
          <cell r="B47" t="str">
            <v>MANZANA</v>
          </cell>
          <cell r="C47" t="str">
            <v>Girona</v>
          </cell>
          <cell r="D47" t="str">
            <v>Fuji</v>
          </cell>
          <cell r="E47" t="str">
            <v>I</v>
          </cell>
          <cell r="F47" t="str">
            <v>70-80</v>
          </cell>
          <cell r="G47">
            <v>63.478260869565226</v>
          </cell>
          <cell r="H47" t="str">
            <v>-</v>
          </cell>
          <cell r="I47">
            <v>62.89</v>
          </cell>
          <cell r="J47">
            <v>64.761904761904759</v>
          </cell>
          <cell r="K47">
            <v>64.251177211293609</v>
          </cell>
        </row>
        <row r="48">
          <cell r="C48" t="str">
            <v>Girona</v>
          </cell>
          <cell r="D48" t="str">
            <v>Gala</v>
          </cell>
          <cell r="E48" t="str">
            <v>I</v>
          </cell>
          <cell r="F48" t="str">
            <v>70-80</v>
          </cell>
          <cell r="G48">
            <v>64.539440639269401</v>
          </cell>
          <cell r="H48">
            <v>65.074612068965521</v>
          </cell>
          <cell r="I48">
            <v>63.2</v>
          </cell>
          <cell r="J48">
            <v>64</v>
          </cell>
          <cell r="K48">
            <v>63.571428571428577</v>
          </cell>
        </row>
        <row r="49">
          <cell r="C49" t="str">
            <v>Girona</v>
          </cell>
          <cell r="D49" t="str">
            <v>Golden Delicious</v>
          </cell>
          <cell r="E49" t="str">
            <v>I</v>
          </cell>
          <cell r="F49" t="str">
            <v>70-80</v>
          </cell>
          <cell r="G49">
            <v>54.820554978635393</v>
          </cell>
          <cell r="H49">
            <v>54.857078739936604</v>
          </cell>
          <cell r="I49">
            <v>53.943834971407099</v>
          </cell>
          <cell r="J49">
            <v>53.573399846211231</v>
          </cell>
          <cell r="K49">
            <v>53.16002386903056</v>
          </cell>
        </row>
        <row r="50">
          <cell r="C50" t="str">
            <v>Girona</v>
          </cell>
          <cell r="D50" t="str">
            <v>Granny Smith</v>
          </cell>
          <cell r="E50" t="str">
            <v>I</v>
          </cell>
          <cell r="F50" t="str">
            <v>70-80</v>
          </cell>
          <cell r="G50" t="str">
            <v>-</v>
          </cell>
          <cell r="H50" t="str">
            <v>-</v>
          </cell>
          <cell r="I50">
            <v>62.484210526315792</v>
          </cell>
          <cell r="J50">
            <v>62.72727272727272</v>
          </cell>
          <cell r="K50">
            <v>62.732609937178758</v>
          </cell>
        </row>
        <row r="51">
          <cell r="C51" t="str">
            <v>Girona</v>
          </cell>
          <cell r="D51" t="str">
            <v>Red Delicious</v>
          </cell>
          <cell r="E51" t="str">
            <v>I</v>
          </cell>
          <cell r="F51" t="str">
            <v>70-80</v>
          </cell>
          <cell r="G51">
            <v>46.99698725376593</v>
          </cell>
          <cell r="H51" t="str">
            <v>-</v>
          </cell>
          <cell r="I51">
            <v>48.46153846153846</v>
          </cell>
          <cell r="J51">
            <v>48.46153846153846</v>
          </cell>
          <cell r="K51">
            <v>48.46153846153846</v>
          </cell>
        </row>
        <row r="52">
          <cell r="C52" t="str">
            <v>Lleida</v>
          </cell>
          <cell r="D52" t="str">
            <v>Fuji</v>
          </cell>
          <cell r="E52" t="str">
            <v>I</v>
          </cell>
          <cell r="F52" t="str">
            <v>70-80</v>
          </cell>
          <cell r="G52">
            <v>47</v>
          </cell>
          <cell r="H52">
            <v>48</v>
          </cell>
          <cell r="I52">
            <v>49.523809523809518</v>
          </cell>
          <cell r="J52">
            <v>48</v>
          </cell>
          <cell r="K52">
            <v>47</v>
          </cell>
        </row>
        <row r="53">
          <cell r="C53" t="str">
            <v>Lleida</v>
          </cell>
          <cell r="D53" t="str">
            <v>Gala</v>
          </cell>
          <cell r="E53" t="str">
            <v>I</v>
          </cell>
          <cell r="F53" t="str">
            <v>70-80</v>
          </cell>
          <cell r="G53">
            <v>50</v>
          </cell>
          <cell r="H53" t="str">
            <v>-</v>
          </cell>
          <cell r="I53">
            <v>48</v>
          </cell>
          <cell r="J53">
            <v>48</v>
          </cell>
          <cell r="K53" t="str">
            <v>-</v>
          </cell>
        </row>
        <row r="54">
          <cell r="C54" t="str">
            <v>Lleida</v>
          </cell>
          <cell r="D54" t="str">
            <v>Golden Delicious</v>
          </cell>
          <cell r="E54" t="str">
            <v>I</v>
          </cell>
          <cell r="F54" t="str">
            <v>70-80</v>
          </cell>
          <cell r="G54">
            <v>51.617623325622681</v>
          </cell>
          <cell r="H54">
            <v>52.203781616242757</v>
          </cell>
          <cell r="I54">
            <v>51.572457758370888</v>
          </cell>
          <cell r="J54">
            <v>52.342801734959785</v>
          </cell>
          <cell r="K54">
            <v>52.305263157894736</v>
          </cell>
        </row>
        <row r="55">
          <cell r="C55" t="str">
            <v>Lleida</v>
          </cell>
          <cell r="D55" t="str">
            <v>Red Chief</v>
          </cell>
          <cell r="E55" t="str">
            <v>I</v>
          </cell>
          <cell r="F55" t="str">
            <v>70-80</v>
          </cell>
          <cell r="G55">
            <v>44.335238095238097</v>
          </cell>
          <cell r="H55">
            <v>44.866562009419148</v>
          </cell>
          <cell r="I55">
            <v>45.39</v>
          </cell>
          <cell r="J55">
            <v>44.808820079756039</v>
          </cell>
          <cell r="K55">
            <v>44.834054834054832</v>
          </cell>
        </row>
        <row r="58">
          <cell r="B58" t="str">
            <v>PERA</v>
          </cell>
          <cell r="C58" t="str">
            <v>Lleida</v>
          </cell>
          <cell r="D58" t="str">
            <v>Blanquilla</v>
          </cell>
          <cell r="E58" t="str">
            <v>I</v>
          </cell>
          <cell r="F58" t="str">
            <v>55-60</v>
          </cell>
          <cell r="G58">
            <v>60.44</v>
          </cell>
          <cell r="H58">
            <v>60.95</v>
          </cell>
          <cell r="I58">
            <v>60.19</v>
          </cell>
          <cell r="J58">
            <v>62.28</v>
          </cell>
          <cell r="K58">
            <v>60.53</v>
          </cell>
        </row>
        <row r="59">
          <cell r="C59" t="str">
            <v>Lleida</v>
          </cell>
          <cell r="D59" t="str">
            <v>Conferencia</v>
          </cell>
          <cell r="E59" t="str">
            <v>I</v>
          </cell>
          <cell r="F59" t="str">
            <v>60-65</v>
          </cell>
          <cell r="G59">
            <v>77.22</v>
          </cell>
          <cell r="H59">
            <v>79.52</v>
          </cell>
          <cell r="I59">
            <v>80.31</v>
          </cell>
          <cell r="J59">
            <v>78.790000000000006</v>
          </cell>
          <cell r="K59">
            <v>80.53</v>
          </cell>
        </row>
        <row r="60">
          <cell r="C60" t="str">
            <v>Lleida</v>
          </cell>
          <cell r="D60" t="str">
            <v>Limonera</v>
          </cell>
          <cell r="E60" t="str">
            <v>I</v>
          </cell>
          <cell r="F60" t="str">
            <v>60y+</v>
          </cell>
          <cell r="G60">
            <v>35</v>
          </cell>
          <cell r="H60">
            <v>34.736842105263158</v>
          </cell>
          <cell r="I60">
            <v>35</v>
          </cell>
          <cell r="J60">
            <v>35</v>
          </cell>
          <cell r="K60" t="str">
            <v>-</v>
          </cell>
        </row>
        <row r="61">
          <cell r="C61" t="str">
            <v>Zaragoza</v>
          </cell>
          <cell r="D61" t="str">
            <v>Blanquilla</v>
          </cell>
          <cell r="E61" t="str">
            <v>I</v>
          </cell>
          <cell r="F61" t="str">
            <v>55-60</v>
          </cell>
          <cell r="G61">
            <v>57.777777777777779</v>
          </cell>
          <cell r="H61" t="str">
            <v>-</v>
          </cell>
          <cell r="I61" t="str">
            <v>-</v>
          </cell>
          <cell r="J61">
            <v>58.5</v>
          </cell>
          <cell r="K61">
            <v>57.777777777777779</v>
          </cell>
        </row>
        <row r="62">
          <cell r="C62" t="str">
            <v>Zaragoza</v>
          </cell>
          <cell r="D62" t="str">
            <v>Conferencia</v>
          </cell>
          <cell r="E62" t="str">
            <v>I</v>
          </cell>
          <cell r="F62" t="str">
            <v>60-65</v>
          </cell>
          <cell r="G62">
            <v>58.5</v>
          </cell>
          <cell r="H62">
            <v>57.005176288260358</v>
          </cell>
          <cell r="I62" t="str">
            <v>-</v>
          </cell>
          <cell r="J62" t="str">
            <v>-</v>
          </cell>
          <cell r="K62">
            <v>58.5</v>
          </cell>
        </row>
        <row r="67">
          <cell r="B67" t="str">
            <v>II:HORTALIZAS</v>
          </cell>
        </row>
        <row r="71">
          <cell r="G71">
            <v>0</v>
          </cell>
        </row>
        <row r="72">
          <cell r="B72" t="str">
            <v>PRODUCTO</v>
          </cell>
          <cell r="C72" t="str">
            <v>MERCADO</v>
          </cell>
          <cell r="D72" t="str">
            <v xml:space="preserve">VARIEDAD </v>
          </cell>
          <cell r="E72" t="str">
            <v>CAT</v>
          </cell>
          <cell r="F72" t="str">
            <v>CALIBRE</v>
          </cell>
          <cell r="I72" t="str">
            <v>DIA/MES</v>
          </cell>
        </row>
        <row r="73">
          <cell r="D73" t="str">
            <v>O TIPO</v>
          </cell>
          <cell r="F73" t="str">
            <v>mm.</v>
          </cell>
          <cell r="G73">
            <v>38418</v>
          </cell>
          <cell r="H73">
            <v>38419</v>
          </cell>
          <cell r="I73">
            <v>38420</v>
          </cell>
          <cell r="J73">
            <v>38421</v>
          </cell>
          <cell r="K73">
            <v>38422</v>
          </cell>
        </row>
        <row r="75">
          <cell r="B75" t="str">
            <v>AJO</v>
          </cell>
          <cell r="C75" t="str">
            <v>Cuenca</v>
          </cell>
          <cell r="D75" t="str">
            <v>Blanco</v>
          </cell>
          <cell r="E75" t="str">
            <v>I</v>
          </cell>
          <cell r="F75" t="str">
            <v>50-80</v>
          </cell>
          <cell r="G75">
            <v>117.54901960784315</v>
          </cell>
          <cell r="H75">
            <v>117.54901960784315</v>
          </cell>
          <cell r="I75">
            <v>117.54901960784315</v>
          </cell>
          <cell r="J75">
            <v>117.54901960784315</v>
          </cell>
          <cell r="K75">
            <v>117.54901960784315</v>
          </cell>
        </row>
        <row r="76">
          <cell r="C76" t="str">
            <v>Cuenca</v>
          </cell>
          <cell r="D76" t="str">
            <v>Morado</v>
          </cell>
          <cell r="E76" t="str">
            <v>I</v>
          </cell>
          <cell r="F76" t="str">
            <v>50-80</v>
          </cell>
          <cell r="G76">
            <v>130</v>
          </cell>
          <cell r="H76">
            <v>130</v>
          </cell>
          <cell r="I76">
            <v>130</v>
          </cell>
          <cell r="J76">
            <v>130</v>
          </cell>
          <cell r="K76">
            <v>130</v>
          </cell>
        </row>
        <row r="79">
          <cell r="B79" t="str">
            <v>BERENJENA</v>
          </cell>
          <cell r="C79" t="str">
            <v>Almeria</v>
          </cell>
          <cell r="D79" t="str">
            <v>Alargada</v>
          </cell>
          <cell r="E79" t="str">
            <v>I</v>
          </cell>
          <cell r="F79" t="str">
            <v>40y+</v>
          </cell>
          <cell r="G79">
            <v>129.52380952380952</v>
          </cell>
          <cell r="H79">
            <v>131.42857142857142</v>
          </cell>
          <cell r="I79" t="str">
            <v>-</v>
          </cell>
          <cell r="J79" t="str">
            <v>-</v>
          </cell>
          <cell r="K79" t="str">
            <v>-</v>
          </cell>
        </row>
        <row r="80">
          <cell r="C80" t="str">
            <v>Almeria</v>
          </cell>
          <cell r="D80" t="str">
            <v>Redonda</v>
          </cell>
          <cell r="E80" t="str">
            <v>I</v>
          </cell>
          <cell r="F80" t="str">
            <v>70y+</v>
          </cell>
          <cell r="G80">
            <v>137.39130434782609</v>
          </cell>
          <cell r="H80">
            <v>136.19047619047618</v>
          </cell>
          <cell r="I80">
            <v>134.98452012383902</v>
          </cell>
          <cell r="J80">
            <v>135.55555555555554</v>
          </cell>
          <cell r="K80" t="str">
            <v>-</v>
          </cell>
        </row>
        <row r="83">
          <cell r="B83" t="str">
            <v>CALABACIN</v>
          </cell>
          <cell r="C83" t="str">
            <v>Almeria</v>
          </cell>
          <cell r="D83" t="str">
            <v>-</v>
          </cell>
          <cell r="E83" t="str">
            <v>I</v>
          </cell>
          <cell r="F83" t="str">
            <v>140-210</v>
          </cell>
          <cell r="G83">
            <v>177.64705882352942</v>
          </cell>
          <cell r="H83">
            <v>175.71428571428572</v>
          </cell>
          <cell r="I83" t="str">
            <v>-</v>
          </cell>
          <cell r="J83" t="str">
            <v>-</v>
          </cell>
          <cell r="K83" t="str">
            <v>-</v>
          </cell>
        </row>
        <row r="86">
          <cell r="B86" t="str">
            <v>CEBOLLA</v>
          </cell>
          <cell r="C86" t="str">
            <v>Albacete</v>
          </cell>
          <cell r="D86" t="str">
            <v>Amarilla</v>
          </cell>
          <cell r="E86" t="str">
            <v>I</v>
          </cell>
          <cell r="F86" t="str">
            <v>-</v>
          </cell>
          <cell r="G86">
            <v>16</v>
          </cell>
          <cell r="H86">
            <v>16</v>
          </cell>
          <cell r="I86">
            <v>16</v>
          </cell>
          <cell r="J86">
            <v>16</v>
          </cell>
          <cell r="K86">
            <v>16</v>
          </cell>
        </row>
        <row r="89">
          <cell r="B89" t="str">
            <v>CHAMPIÑON</v>
          </cell>
          <cell r="C89" t="str">
            <v>La Rioja</v>
          </cell>
          <cell r="D89" t="str">
            <v>Cerrado</v>
          </cell>
          <cell r="E89" t="str">
            <v>I</v>
          </cell>
          <cell r="F89" t="str">
            <v>30-65</v>
          </cell>
          <cell r="G89">
            <v>129.81545741324922</v>
          </cell>
          <cell r="H89">
            <v>129.4834404095235</v>
          </cell>
          <cell r="I89">
            <v>130.04393673110721</v>
          </cell>
          <cell r="J89">
            <v>130.86392201235964</v>
          </cell>
          <cell r="K89">
            <v>130.44793449681484</v>
          </cell>
        </row>
        <row r="92">
          <cell r="B92" t="str">
            <v>COLIFLOR</v>
          </cell>
          <cell r="C92" t="str">
            <v>La Rioja</v>
          </cell>
          <cell r="D92" t="str">
            <v>Coronada</v>
          </cell>
          <cell r="E92" t="str">
            <v>I</v>
          </cell>
          <cell r="F92" t="str">
            <v>160-200</v>
          </cell>
          <cell r="G92">
            <v>58.477777777777781</v>
          </cell>
          <cell r="H92">
            <v>60</v>
          </cell>
          <cell r="I92">
            <v>65.790000000000006</v>
          </cell>
          <cell r="J92">
            <v>68.099999999999994</v>
          </cell>
          <cell r="K92">
            <v>72.44</v>
          </cell>
        </row>
        <row r="95">
          <cell r="B95" t="str">
            <v>FRESON</v>
          </cell>
          <cell r="C95" t="str">
            <v>Huelva</v>
          </cell>
          <cell r="D95" t="str">
            <v>-</v>
          </cell>
          <cell r="E95" t="str">
            <v>I</v>
          </cell>
          <cell r="F95" t="str">
            <v>-</v>
          </cell>
          <cell r="G95">
            <v>293.81818181818181</v>
          </cell>
          <cell r="H95">
            <v>304.85714285714283</v>
          </cell>
          <cell r="I95">
            <v>317</v>
          </cell>
          <cell r="J95">
            <v>317</v>
          </cell>
          <cell r="K95">
            <v>317</v>
          </cell>
        </row>
        <row r="98">
          <cell r="B98" t="str">
            <v>JUDIA VERDE</v>
          </cell>
          <cell r="C98" t="str">
            <v>Almería</v>
          </cell>
          <cell r="D98" t="str">
            <v>Plana</v>
          </cell>
          <cell r="E98" t="str">
            <v>I</v>
          </cell>
          <cell r="F98" t="str">
            <v>-</v>
          </cell>
          <cell r="G98">
            <v>539</v>
          </cell>
          <cell r="H98">
            <v>525.49019607843138</v>
          </cell>
          <cell r="I98" t="str">
            <v>-</v>
          </cell>
          <cell r="J98" t="str">
            <v>-</v>
          </cell>
          <cell r="K98" t="str">
            <v>-</v>
          </cell>
        </row>
        <row r="101">
          <cell r="B101" t="str">
            <v>LECHUGA</v>
          </cell>
          <cell r="C101" t="str">
            <v>Almeria</v>
          </cell>
          <cell r="D101" t="str">
            <v>Iceberg</v>
          </cell>
          <cell r="E101" t="str">
            <v>I</v>
          </cell>
          <cell r="F101" t="str">
            <v>400y+</v>
          </cell>
          <cell r="G101">
            <v>253.19693094629153</v>
          </cell>
          <cell r="H101" t="str">
            <v>-</v>
          </cell>
          <cell r="I101" t="str">
            <v>-</v>
          </cell>
          <cell r="J101" t="str">
            <v>-</v>
          </cell>
          <cell r="K101" t="str">
            <v>-</v>
          </cell>
        </row>
        <row r="102">
          <cell r="C102" t="str">
            <v>Murcia</v>
          </cell>
          <cell r="D102" t="str">
            <v>Iceberg</v>
          </cell>
          <cell r="E102" t="str">
            <v>I</v>
          </cell>
          <cell r="F102" t="str">
            <v>400y+</v>
          </cell>
          <cell r="G102">
            <v>222.5</v>
          </cell>
          <cell r="H102">
            <v>222.5</v>
          </cell>
          <cell r="I102">
            <v>222.5</v>
          </cell>
          <cell r="J102">
            <v>222.5</v>
          </cell>
          <cell r="K102">
            <v>222.5</v>
          </cell>
        </row>
        <row r="105">
          <cell r="B105" t="str">
            <v>PEPINO</v>
          </cell>
          <cell r="C105" t="str">
            <v>Almeria</v>
          </cell>
          <cell r="D105" t="str">
            <v>Liso</v>
          </cell>
          <cell r="E105" t="str">
            <v>I</v>
          </cell>
          <cell r="F105" t="str">
            <v>-</v>
          </cell>
          <cell r="G105">
            <v>153.63636363636363</v>
          </cell>
          <cell r="H105">
            <v>154.43795527780489</v>
          </cell>
          <cell r="I105" t="str">
            <v>-</v>
          </cell>
          <cell r="J105">
            <v>168.18181818181816</v>
          </cell>
          <cell r="K105">
            <v>172.72727272727272</v>
          </cell>
        </row>
        <row r="108">
          <cell r="B108" t="str">
            <v>PIMIENTO</v>
          </cell>
          <cell r="C108" t="str">
            <v>Almeria</v>
          </cell>
          <cell r="D108" t="str">
            <v>Alargado verde</v>
          </cell>
          <cell r="E108" t="str">
            <v>I</v>
          </cell>
          <cell r="F108" t="str">
            <v>40y+</v>
          </cell>
          <cell r="G108">
            <v>177.77777777777777</v>
          </cell>
          <cell r="H108">
            <v>173.85620915032681</v>
          </cell>
          <cell r="I108" t="str">
            <v>-</v>
          </cell>
          <cell r="J108" t="str">
            <v>-</v>
          </cell>
          <cell r="K108" t="str">
            <v>-</v>
          </cell>
        </row>
        <row r="111">
          <cell r="B111" t="str">
            <v>TOMATE</v>
          </cell>
          <cell r="C111" t="str">
            <v>Almeria</v>
          </cell>
          <cell r="D111" t="str">
            <v>Racimo</v>
          </cell>
          <cell r="E111" t="str">
            <v>I</v>
          </cell>
          <cell r="F111" t="str">
            <v>57-82</v>
          </cell>
          <cell r="G111">
            <v>105.04066863922584</v>
          </cell>
          <cell r="H111">
            <v>107.79592179858936</v>
          </cell>
          <cell r="I111" t="str">
            <v>-</v>
          </cell>
          <cell r="J111">
            <v>107.3402135944867</v>
          </cell>
          <cell r="K111">
            <v>108.45143909844489</v>
          </cell>
        </row>
        <row r="112">
          <cell r="C112" t="str">
            <v>Almeria</v>
          </cell>
          <cell r="D112" t="str">
            <v>Redondo</v>
          </cell>
          <cell r="E112" t="str">
            <v>I</v>
          </cell>
          <cell r="F112" t="str">
            <v>57-82</v>
          </cell>
          <cell r="G112">
            <v>96.648423961315999</v>
          </cell>
          <cell r="H112">
            <v>99.249821601245955</v>
          </cell>
          <cell r="I112">
            <v>101.96078431372548</v>
          </cell>
          <cell r="J112">
            <v>99.410383309988092</v>
          </cell>
          <cell r="K112">
            <v>99.289134190044535</v>
          </cell>
        </row>
        <row r="113">
          <cell r="C113" t="str">
            <v>Granada</v>
          </cell>
          <cell r="D113" t="str">
            <v>Cereza</v>
          </cell>
          <cell r="E113" t="str">
            <v>I</v>
          </cell>
          <cell r="F113" t="str">
            <v>-</v>
          </cell>
          <cell r="G113">
            <v>210</v>
          </cell>
          <cell r="H113">
            <v>210</v>
          </cell>
          <cell r="I113">
            <v>210</v>
          </cell>
          <cell r="J113">
            <v>210</v>
          </cell>
          <cell r="K113">
            <v>210</v>
          </cell>
        </row>
        <row r="114">
          <cell r="C114" t="str">
            <v>Murcia</v>
          </cell>
          <cell r="D114" t="str">
            <v>Cereza</v>
          </cell>
          <cell r="E114" t="str">
            <v>I</v>
          </cell>
          <cell r="F114" t="str">
            <v>-</v>
          </cell>
          <cell r="G114">
            <v>275</v>
          </cell>
          <cell r="H114">
            <v>275</v>
          </cell>
          <cell r="I114">
            <v>275</v>
          </cell>
          <cell r="J114">
            <v>275</v>
          </cell>
          <cell r="K114">
            <v>275</v>
          </cell>
        </row>
        <row r="115">
          <cell r="C115" t="str">
            <v>Murcia</v>
          </cell>
          <cell r="D115" t="str">
            <v>Redondo</v>
          </cell>
          <cell r="E115" t="str">
            <v>I</v>
          </cell>
          <cell r="F115" t="str">
            <v>57-82</v>
          </cell>
          <cell r="G115">
            <v>125.27777777777777</v>
          </cell>
          <cell r="H115">
            <v>125.27777777777777</v>
          </cell>
          <cell r="I115">
            <v>125.27777777777777</v>
          </cell>
          <cell r="J115">
            <v>125.27777777777777</v>
          </cell>
          <cell r="K115">
            <v>125.27777777777777</v>
          </cell>
        </row>
        <row r="118">
          <cell r="B118" t="str">
            <v>ZANAHORIA</v>
          </cell>
          <cell r="C118" t="str">
            <v>Cádiz</v>
          </cell>
          <cell r="D118" t="str">
            <v>-</v>
          </cell>
          <cell r="E118" t="str">
            <v>I</v>
          </cell>
          <cell r="F118" t="str">
            <v>-</v>
          </cell>
          <cell r="G118" t="str">
            <v>-</v>
          </cell>
          <cell r="H118" t="str">
            <v>-</v>
          </cell>
          <cell r="I118">
            <v>33.677419354838712</v>
          </cell>
          <cell r="J118" t="str">
            <v>-</v>
          </cell>
          <cell r="K118">
            <v>34.46153846153846</v>
          </cell>
        </row>
        <row r="123">
          <cell r="B123" t="str">
            <v>SALUDOS</v>
          </cell>
        </row>
        <row r="124">
          <cell r="B124" t="str">
            <v>SERVICIO DE PRECIOS Y SALARIOS AGRARIOS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agridata.ec.europa.eu/extensions/DataPortal/pric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1830C-45DF-4340-871F-5F14E930F6EE}">
  <dimension ref="A1:E35"/>
  <sheetViews>
    <sheetView tabSelected="1" zoomScaleNormal="100" workbookViewId="0"/>
  </sheetViews>
  <sheetFormatPr baseColWidth="10" defaultRowHeight="13.5"/>
  <cols>
    <col min="1" max="16384" width="10.90625" style="672"/>
  </cols>
  <sheetData>
    <row r="1" spans="1:5">
      <c r="A1" s="672" t="s">
        <v>565</v>
      </c>
    </row>
    <row r="2" spans="1:5">
      <c r="A2" s="672" t="s">
        <v>566</v>
      </c>
    </row>
    <row r="3" spans="1:5">
      <c r="A3" s="672" t="s">
        <v>567</v>
      </c>
    </row>
    <row r="4" spans="1:5">
      <c r="A4" s="673" t="s">
        <v>568</v>
      </c>
      <c r="B4" s="673"/>
      <c r="C4" s="673"/>
      <c r="D4" s="673"/>
      <c r="E4" s="673"/>
    </row>
    <row r="5" spans="1:5">
      <c r="A5" s="673" t="s">
        <v>588</v>
      </c>
      <c r="B5" s="673"/>
      <c r="C5" s="673"/>
      <c r="D5" s="673"/>
      <c r="E5" s="673"/>
    </row>
    <row r="7" spans="1:5">
      <c r="A7" s="672" t="s">
        <v>569</v>
      </c>
    </row>
    <row r="8" spans="1:5">
      <c r="A8" s="673" t="s">
        <v>570</v>
      </c>
      <c r="B8" s="673"/>
      <c r="C8" s="673"/>
      <c r="D8" s="673"/>
      <c r="E8" s="673"/>
    </row>
    <row r="10" spans="1:5">
      <c r="A10" s="672" t="s">
        <v>571</v>
      </c>
    </row>
    <row r="11" spans="1:5">
      <c r="A11" s="672" t="s">
        <v>572</v>
      </c>
    </row>
    <row r="12" spans="1:5">
      <c r="A12" s="673" t="s">
        <v>595</v>
      </c>
      <c r="B12" s="673"/>
      <c r="C12" s="673"/>
      <c r="D12" s="673"/>
      <c r="E12" s="673"/>
    </row>
    <row r="13" spans="1:5">
      <c r="A13" s="673" t="s">
        <v>596</v>
      </c>
      <c r="B13" s="673"/>
      <c r="C13" s="673"/>
      <c r="D13" s="673"/>
      <c r="E13" s="673"/>
    </row>
    <row r="14" spans="1:5">
      <c r="A14" s="673" t="s">
        <v>597</v>
      </c>
      <c r="B14" s="673"/>
      <c r="C14" s="673"/>
      <c r="D14" s="673"/>
      <c r="E14" s="673"/>
    </row>
    <row r="15" spans="1:5">
      <c r="A15" s="673" t="s">
        <v>589</v>
      </c>
      <c r="B15" s="673"/>
      <c r="C15" s="673"/>
      <c r="D15" s="673"/>
      <c r="E15" s="673"/>
    </row>
    <row r="16" spans="1:5">
      <c r="A16" s="673" t="s">
        <v>590</v>
      </c>
      <c r="B16" s="673"/>
      <c r="C16" s="673"/>
      <c r="D16" s="673"/>
      <c r="E16" s="673"/>
    </row>
    <row r="17" spans="1:5">
      <c r="A17" s="672" t="s">
        <v>573</v>
      </c>
    </row>
    <row r="18" spans="1:5">
      <c r="A18" s="672" t="s">
        <v>574</v>
      </c>
    </row>
    <row r="19" spans="1:5">
      <c r="A19" s="673" t="s">
        <v>575</v>
      </c>
      <c r="B19" s="673"/>
      <c r="C19" s="673"/>
      <c r="D19" s="673"/>
      <c r="E19" s="673"/>
    </row>
    <row r="20" spans="1:5">
      <c r="A20" s="673" t="s">
        <v>591</v>
      </c>
      <c r="B20" s="673"/>
      <c r="C20" s="673"/>
      <c r="D20" s="673"/>
      <c r="E20" s="673"/>
    </row>
    <row r="21" spans="1:5">
      <c r="A21" s="672" t="s">
        <v>576</v>
      </c>
    </row>
    <row r="22" spans="1:5">
      <c r="A22" s="673" t="s">
        <v>577</v>
      </c>
      <c r="B22" s="673"/>
      <c r="C22" s="673"/>
      <c r="D22" s="673"/>
      <c r="E22" s="673"/>
    </row>
    <row r="23" spans="1:5">
      <c r="A23" s="673" t="s">
        <v>578</v>
      </c>
      <c r="B23" s="673"/>
      <c r="C23" s="673"/>
      <c r="D23" s="673"/>
      <c r="E23" s="673"/>
    </row>
    <row r="24" spans="1:5">
      <c r="A24" s="672" t="s">
        <v>579</v>
      </c>
    </row>
    <row r="25" spans="1:5">
      <c r="A25" s="672" t="s">
        <v>580</v>
      </c>
    </row>
    <row r="26" spans="1:5">
      <c r="A26" s="673" t="s">
        <v>592</v>
      </c>
      <c r="B26" s="673"/>
      <c r="C26" s="673"/>
      <c r="D26" s="673"/>
      <c r="E26" s="673"/>
    </row>
    <row r="27" spans="1:5">
      <c r="A27" s="673" t="s">
        <v>593</v>
      </c>
      <c r="B27" s="673"/>
      <c r="C27" s="673"/>
      <c r="D27" s="673"/>
      <c r="E27" s="673"/>
    </row>
    <row r="28" spans="1:5">
      <c r="A28" s="673" t="s">
        <v>594</v>
      </c>
      <c r="B28" s="673"/>
      <c r="C28" s="673"/>
      <c r="D28" s="673"/>
      <c r="E28" s="673"/>
    </row>
    <row r="29" spans="1:5">
      <c r="A29" s="672" t="s">
        <v>581</v>
      </c>
    </row>
    <row r="30" spans="1:5">
      <c r="A30" s="673" t="s">
        <v>582</v>
      </c>
      <c r="B30" s="673"/>
      <c r="C30" s="673"/>
      <c r="D30" s="673"/>
      <c r="E30" s="673"/>
    </row>
    <row r="31" spans="1:5">
      <c r="A31" s="672" t="s">
        <v>583</v>
      </c>
    </row>
    <row r="32" spans="1:5">
      <c r="A32" s="673" t="s">
        <v>584</v>
      </c>
      <c r="B32" s="673"/>
      <c r="C32" s="673"/>
      <c r="D32" s="673"/>
      <c r="E32" s="673"/>
    </row>
    <row r="33" spans="1:5">
      <c r="A33" s="673" t="s">
        <v>585</v>
      </c>
      <c r="B33" s="673"/>
      <c r="C33" s="673"/>
      <c r="D33" s="673"/>
      <c r="E33" s="673"/>
    </row>
    <row r="34" spans="1:5">
      <c r="A34" s="673" t="s">
        <v>586</v>
      </c>
      <c r="B34" s="673"/>
      <c r="C34" s="673"/>
      <c r="D34" s="673"/>
      <c r="E34" s="673"/>
    </row>
    <row r="35" spans="1:5">
      <c r="A35" s="673" t="s">
        <v>587</v>
      </c>
      <c r="B35" s="673"/>
      <c r="C35" s="673"/>
      <c r="D35" s="673"/>
      <c r="E35" s="673"/>
    </row>
  </sheetData>
  <hyperlinks>
    <hyperlink ref="A4:E4" location="'Pág. 4'!A1" display="1.1.1.         Precios Medios Nacionales de Cereales, Arroz, Oleaginosas, Tortas, Proteicos, Vinos y Aceites." xr:uid="{7B1BA56C-CF03-4C24-8C07-0343553AA628}"/>
    <hyperlink ref="A5:E5" location="'Pág. 5'!A1" display="1.1.2.         Precios Medios Nacionales en Origen de Frutas y Hortalízas" xr:uid="{38E1B390-ADA3-4F89-B9FD-19F1D36BFA58}"/>
    <hyperlink ref="A8:E8" location="'Pág. 7'!A1" display="1.2.1.         Precios Medios Nacionales de Productos Ganaderos" xr:uid="{A036BFCF-92E6-493E-8E0D-4739BFED3447}"/>
    <hyperlink ref="A12:E12" location="'Pág. 9'!A1" display="2.1.1.         Precios Medios en Mercados Representativos: Trigo y Alfalfa" xr:uid="{AD50F6FB-6FD7-48A1-AC70-A5A2D255D87D}"/>
    <hyperlink ref="A13:E13" location="'Pág. 10'!A1" display="2.1.2.         Precios Medios en Mercados Representativos: Cebada" xr:uid="{A91E86CB-C230-4778-BCC1-FCCB42A5D47F}"/>
    <hyperlink ref="A14:E14" location="'Pág. 11'!A1" display="2.1.3.         Precios Medios en Mercados Representativos: Maíz y Arroz" xr:uid="{B2E20E4A-AB96-4B4D-B101-EFF73DA5694E}"/>
    <hyperlink ref="A15:E15" location="'Pág. 12'!A1" display="2.2.         Precios Medios en Mercados Representativos de Vinos" xr:uid="{6C2DFBAD-D57D-40D3-BC83-C77880DCF8DB}"/>
    <hyperlink ref="A16:E16" location="'Pág. 13'!A1" display="2.3.         Precios Medios en Mercados Representativos de Aceites y Semilla de Girasol" xr:uid="{1F16122D-ED03-450D-9F5F-55FD8601939C}"/>
    <hyperlink ref="A19:E19" location="'Pág. 14'!A1" display="3.1.1.         Precios de Producción de Frutas en el Mercado Interior: Precios diarios y Precios Medios Ponderados Semanales en mercados representativos" xr:uid="{900CB0DA-5BE4-4298-8F2B-CCF831814E96}"/>
    <hyperlink ref="A20:E20" location="'Pág. 15'!A1" display="3.1.2.         Precios de Producción de Frutas en el Mercado Interior: Precios diarios y Precios Medios Ponderados Semanales en mercados representativos" xr:uid="{7443F6B5-4899-4CAD-9E93-F3FB7DA005A4}"/>
    <hyperlink ref="A22:E22" location="'Pág. 16'!A1" display="3.2.1.         Precios de Producción de Productos Hortícolas en el Mercado Interior: Precios diarios y Precios Medios Ponderados Semanales en mercados" xr:uid="{18E3CFA1-21B4-4B6A-9BED-EDF3E17D21AC}"/>
    <hyperlink ref="A23:E23" location="'Pág. 17'!A1" display="3.2.2.         Precios de Producción de Productos Hortícolas en el Mercado Interior: Precios Medios Ponderados Semanales Nacionales" xr:uid="{99BFE3EF-BED4-475B-8C26-DBEA20FC525B}"/>
    <hyperlink ref="A26:E26" location="'Pág. 18'!A1" display="4.1.1.         Precios Medios Nacionales de Canales de Bovino Pesado" xr:uid="{774E34C2-D0A3-4DE7-9CB9-844C53D991B5}"/>
    <hyperlink ref="A27:E27" location="'Pág. 19'!A1" display="4.1.2.         Precios Medios Nacionales del Bovino Vivo" xr:uid="{53DC9AEA-85DE-4ABE-A3A3-74A64E9F51E8}"/>
    <hyperlink ref="A28:E28" location="'Pág. 19'!A1" display="4.1.3.         Precios Medios Nacionales de Otros Animales de la Especie Bovina" xr:uid="{850F6957-066A-48AA-B35D-209D18273E6A}"/>
    <hyperlink ref="A30:E30" location="'Pág. 19'!A1" display="4.2.1.         Precios Medios Nacionales de Canales de Ovino Frescas o Refrigeradas" xr:uid="{647F01C1-52BE-40B8-BDCA-C2A455C43E0F}"/>
    <hyperlink ref="A32:E32" location="'Pág. 20'!A1" display="4.3.1.         Precios Medios de Canales de Porcino de Capa Blanca" xr:uid="{AC4A44A0-B2DA-4EA6-9493-F959AA206D6E}"/>
    <hyperlink ref="A33:E33" location="'Pág. 20'!A1" display="4.3.2.         Precios Medios en Mercados Representativos Provinciales de Porcino Cebado" xr:uid="{7622583D-4ECC-4EDA-9069-F730030B53E0}"/>
    <hyperlink ref="A34:E34" location="'Pág. 21'!A1" display="4.3.3.         Precios Medios de Porcino Precoz, Lechones y Otras Calidades" xr:uid="{468DFEA3-DB48-4F7D-8A90-D53D23E23434}"/>
    <hyperlink ref="A35:E35" location="'Pág. 21'!A1" display="4.3.4.         Precios Medios de Porcino: Tronco Ibérico" xr:uid="{984B7B74-D644-409D-918A-7262AC3693E6}"/>
  </hyperlinks>
  <pageMargins left="0.7" right="0.7" top="0.75" bottom="0.75" header="0.3" footer="0.3"/>
  <pageSetup paperSize="9" scale="66" orientation="portrait" r:id="rId1"/>
  <colBreaks count="1" manualBreakCount="1">
    <brk id="1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EBE52-BDE5-42C9-9AA6-0AFABE3EA03A}">
  <sheetPr>
    <pageSetUpPr fitToPage="1"/>
  </sheetPr>
  <dimension ref="A1:Q86"/>
  <sheetViews>
    <sheetView showGridLines="0" zoomScaleNormal="100" zoomScaleSheetLayoutView="80" workbookViewId="0"/>
  </sheetViews>
  <sheetFormatPr baseColWidth="10" defaultColWidth="17.08984375" defaultRowHeight="13.5"/>
  <cols>
    <col min="1" max="1" width="4.54296875" style="1" customWidth="1"/>
    <col min="2" max="2" width="14.36328125" style="1" customWidth="1"/>
    <col min="3" max="3" width="88" style="1" customWidth="1"/>
    <col min="4" max="7" width="27" style="1" customWidth="1"/>
    <col min="8" max="8" width="1.36328125" style="1" customWidth="1"/>
    <col min="9" max="9" width="17.08984375" style="1" customWidth="1"/>
    <col min="10" max="16384" width="17.08984375" style="1"/>
  </cols>
  <sheetData>
    <row r="1" spans="2:7" ht="10.4" customHeight="1"/>
    <row r="2" spans="2:7" ht="15" customHeight="1">
      <c r="B2" s="674" t="s">
        <v>0</v>
      </c>
      <c r="C2" s="674"/>
      <c r="D2" s="674"/>
      <c r="E2" s="674"/>
      <c r="F2" s="674"/>
      <c r="G2" s="3"/>
    </row>
    <row r="3" spans="2:7" ht="3" customHeight="1">
      <c r="B3" s="2"/>
      <c r="C3" s="2"/>
      <c r="D3" s="2"/>
      <c r="E3" s="2"/>
      <c r="F3" s="2"/>
      <c r="G3" s="3"/>
    </row>
    <row r="4" spans="2:7" ht="15" customHeight="1">
      <c r="B4" s="675" t="s">
        <v>1</v>
      </c>
      <c r="C4" s="675"/>
      <c r="D4" s="675"/>
      <c r="E4" s="675"/>
      <c r="F4" s="675"/>
      <c r="G4" s="675"/>
    </row>
    <row r="5" spans="2:7" ht="5.25" customHeight="1" thickBot="1">
      <c r="B5" s="4"/>
      <c r="C5" s="4"/>
      <c r="D5" s="4"/>
      <c r="E5" s="4"/>
      <c r="F5" s="4"/>
      <c r="G5" s="4"/>
    </row>
    <row r="6" spans="2:7" ht="18.649999999999999" customHeight="1" thickBot="1">
      <c r="B6" s="676" t="s">
        <v>2</v>
      </c>
      <c r="C6" s="677"/>
      <c r="D6" s="677"/>
      <c r="E6" s="677"/>
      <c r="F6" s="677"/>
      <c r="G6" s="678"/>
    </row>
    <row r="7" spans="2:7" ht="20.149999999999999" customHeight="1">
      <c r="B7" s="5"/>
      <c r="C7" s="6" t="s">
        <v>3</v>
      </c>
      <c r="D7" s="7" t="s">
        <v>4</v>
      </c>
      <c r="E7" s="7" t="s">
        <v>5</v>
      </c>
      <c r="F7" s="8" t="s">
        <v>6</v>
      </c>
      <c r="G7" s="9" t="s">
        <v>6</v>
      </c>
    </row>
    <row r="8" spans="2:7" ht="20.149999999999999" customHeight="1">
      <c r="B8" s="10"/>
      <c r="C8" s="11" t="s">
        <v>7</v>
      </c>
      <c r="D8" s="12" t="s">
        <v>8</v>
      </c>
      <c r="E8" s="12" t="s">
        <v>9</v>
      </c>
      <c r="F8" s="13" t="s">
        <v>10</v>
      </c>
      <c r="G8" s="14" t="s">
        <v>10</v>
      </c>
    </row>
    <row r="9" spans="2:7" ht="20.149999999999999" customHeight="1" thickBot="1">
      <c r="B9" s="10"/>
      <c r="C9" s="11"/>
      <c r="D9" s="15">
        <v>2025</v>
      </c>
      <c r="E9" s="15">
        <v>2025</v>
      </c>
      <c r="F9" s="16" t="s">
        <v>11</v>
      </c>
      <c r="G9" s="17" t="s">
        <v>12</v>
      </c>
    </row>
    <row r="10" spans="2:7" ht="20.149999999999999" customHeight="1" thickBot="1">
      <c r="B10" s="18"/>
      <c r="C10" s="19" t="s">
        <v>13</v>
      </c>
      <c r="D10" s="20"/>
      <c r="E10" s="20"/>
      <c r="F10" s="21"/>
      <c r="G10" s="22"/>
    </row>
    <row r="11" spans="2:7" ht="20.149999999999999" customHeight="1">
      <c r="B11" s="23" t="s">
        <v>14</v>
      </c>
      <c r="C11" s="24" t="s">
        <v>15</v>
      </c>
      <c r="D11" s="25">
        <v>207.7376342279257</v>
      </c>
      <c r="E11" s="25">
        <v>208.96012949838584</v>
      </c>
      <c r="F11" s="26">
        <v>1.2224952704601435</v>
      </c>
      <c r="G11" s="27">
        <v>0.58848040462366669</v>
      </c>
    </row>
    <row r="12" spans="2:7" ht="20.149999999999999" customHeight="1">
      <c r="B12" s="23" t="s">
        <v>14</v>
      </c>
      <c r="C12" s="24" t="s">
        <v>16</v>
      </c>
      <c r="D12" s="28">
        <v>248.92</v>
      </c>
      <c r="E12" s="28">
        <v>250.63</v>
      </c>
      <c r="F12" s="26">
        <v>1.710000000000008</v>
      </c>
      <c r="G12" s="27">
        <v>0.6869677004660133</v>
      </c>
    </row>
    <row r="13" spans="2:7" ht="20.149999999999999" customHeight="1">
      <c r="B13" s="23" t="s">
        <v>14</v>
      </c>
      <c r="C13" s="24" t="s">
        <v>17</v>
      </c>
      <c r="D13" s="25">
        <v>195.38</v>
      </c>
      <c r="E13" s="25">
        <v>196.15</v>
      </c>
      <c r="F13" s="26">
        <v>0.77000000000001023</v>
      </c>
      <c r="G13" s="27">
        <v>0.39410379772751014</v>
      </c>
    </row>
    <row r="14" spans="2:7" ht="20.149999999999999" customHeight="1">
      <c r="B14" s="23" t="s">
        <v>14</v>
      </c>
      <c r="C14" s="24" t="s">
        <v>18</v>
      </c>
      <c r="D14" s="25">
        <v>202.71</v>
      </c>
      <c r="E14" s="25">
        <v>203.3</v>
      </c>
      <c r="F14" s="26">
        <v>0.59000000000000341</v>
      </c>
      <c r="G14" s="27">
        <v>0.2910561886438785</v>
      </c>
    </row>
    <row r="15" spans="2:7" ht="20.149999999999999" customHeight="1" thickBot="1">
      <c r="B15" s="23" t="s">
        <v>14</v>
      </c>
      <c r="C15" s="24" t="s">
        <v>19</v>
      </c>
      <c r="D15" s="25">
        <v>218.68</v>
      </c>
      <c r="E15" s="25">
        <v>218.73</v>
      </c>
      <c r="F15" s="26">
        <v>4.9999999999982947E-2</v>
      </c>
      <c r="G15" s="27">
        <v>2.2864459484168265E-2</v>
      </c>
    </row>
    <row r="16" spans="2:7" ht="20.149999999999999" customHeight="1" thickBot="1">
      <c r="B16" s="18"/>
      <c r="C16" s="19" t="s">
        <v>20</v>
      </c>
      <c r="D16" s="29"/>
      <c r="E16" s="29"/>
      <c r="F16" s="30"/>
      <c r="G16" s="31"/>
    </row>
    <row r="17" spans="2:16" ht="20.149999999999999" customHeight="1">
      <c r="B17" s="32" t="s">
        <v>21</v>
      </c>
      <c r="C17" s="33" t="s">
        <v>22</v>
      </c>
      <c r="D17" s="34">
        <v>456.43</v>
      </c>
      <c r="E17" s="34">
        <v>456.43</v>
      </c>
      <c r="F17" s="26">
        <v>0</v>
      </c>
      <c r="G17" s="27">
        <v>0</v>
      </c>
    </row>
    <row r="18" spans="2:16" ht="20.149999999999999" customHeight="1">
      <c r="B18" s="32" t="s">
        <v>21</v>
      </c>
      <c r="C18" s="33" t="s">
        <v>23</v>
      </c>
      <c r="D18" s="34">
        <v>303.2</v>
      </c>
      <c r="E18" s="34">
        <v>303.2</v>
      </c>
      <c r="F18" s="26">
        <v>0</v>
      </c>
      <c r="G18" s="27">
        <v>0</v>
      </c>
    </row>
    <row r="19" spans="2:16" ht="20.149999999999999" customHeight="1">
      <c r="B19" s="32" t="s">
        <v>24</v>
      </c>
      <c r="C19" s="33" t="s">
        <v>25</v>
      </c>
      <c r="D19" s="25">
        <v>1097.57</v>
      </c>
      <c r="E19" s="25">
        <v>1097.57</v>
      </c>
      <c r="F19" s="26">
        <v>0</v>
      </c>
      <c r="G19" s="27">
        <v>0</v>
      </c>
    </row>
    <row r="20" spans="2:16" ht="20.149999999999999" customHeight="1" thickBot="1">
      <c r="B20" s="32" t="s">
        <v>24</v>
      </c>
      <c r="C20" s="33" t="s">
        <v>26</v>
      </c>
      <c r="D20" s="28">
        <v>461.51</v>
      </c>
      <c r="E20" s="28">
        <v>461.51</v>
      </c>
      <c r="F20" s="26">
        <v>0</v>
      </c>
      <c r="G20" s="27">
        <v>0</v>
      </c>
    </row>
    <row r="21" spans="2:16" ht="20.149999999999999" customHeight="1" thickBot="1">
      <c r="B21" s="18"/>
      <c r="C21" s="19" t="s">
        <v>27</v>
      </c>
      <c r="D21" s="35"/>
      <c r="E21" s="35"/>
      <c r="F21" s="30"/>
      <c r="G21" s="36"/>
    </row>
    <row r="22" spans="2:16" ht="20.149999999999999" customHeight="1">
      <c r="B22" s="23" t="s">
        <v>28</v>
      </c>
      <c r="C22" s="37" t="s">
        <v>29</v>
      </c>
      <c r="D22" s="38">
        <v>543.91</v>
      </c>
      <c r="E22" s="38">
        <v>543.91</v>
      </c>
      <c r="F22" s="26">
        <v>0</v>
      </c>
      <c r="G22" s="27">
        <v>0</v>
      </c>
    </row>
    <row r="23" spans="2:16" ht="20.149999999999999" customHeight="1">
      <c r="B23" s="23" t="s">
        <v>28</v>
      </c>
      <c r="C23" s="37" t="s">
        <v>30</v>
      </c>
      <c r="D23" s="38">
        <v>453.36</v>
      </c>
      <c r="E23" s="38">
        <v>453.36</v>
      </c>
      <c r="F23" s="26">
        <v>0</v>
      </c>
      <c r="G23" s="27">
        <v>0</v>
      </c>
    </row>
    <row r="24" spans="2:16" ht="20.149999999999999" customHeight="1" thickBot="1">
      <c r="B24" s="32" t="s">
        <v>28</v>
      </c>
      <c r="C24" s="37" t="s">
        <v>31</v>
      </c>
      <c r="D24" s="38">
        <v>420.32499999999999</v>
      </c>
      <c r="E24" s="38">
        <v>418.7</v>
      </c>
      <c r="F24" s="26">
        <v>-1.625</v>
      </c>
      <c r="G24" s="27">
        <v>-0.38660560280735012</v>
      </c>
      <c r="J24" s="39"/>
    </row>
    <row r="25" spans="2:16" ht="20.149999999999999" customHeight="1" thickBot="1">
      <c r="B25" s="18"/>
      <c r="C25" s="19" t="s">
        <v>32</v>
      </c>
      <c r="D25" s="35"/>
      <c r="E25" s="35"/>
      <c r="F25" s="30"/>
      <c r="G25" s="36"/>
      <c r="K25" s="39"/>
    </row>
    <row r="26" spans="2:16" ht="20.149999999999999" customHeight="1">
      <c r="B26" s="40" t="s">
        <v>33</v>
      </c>
      <c r="C26" s="41" t="s">
        <v>34</v>
      </c>
      <c r="D26" s="42">
        <v>184.03</v>
      </c>
      <c r="E26" s="42">
        <v>185.2</v>
      </c>
      <c r="F26" s="26">
        <v>1.1699999999999875</v>
      </c>
      <c r="G26" s="27">
        <v>0.63576590773243424</v>
      </c>
      <c r="J26" s="39"/>
    </row>
    <row r="27" spans="2:16" ht="20.149999999999999" customHeight="1" thickBot="1">
      <c r="B27" s="40" t="s">
        <v>33</v>
      </c>
      <c r="C27" s="43" t="s">
        <v>35</v>
      </c>
      <c r="D27" s="44">
        <v>320.24200000000002</v>
      </c>
      <c r="E27" s="44">
        <v>323.73</v>
      </c>
      <c r="F27" s="26">
        <v>3.4879999999999995</v>
      </c>
      <c r="G27" s="27">
        <v>1.0891763104152403</v>
      </c>
      <c r="L27" s="39"/>
    </row>
    <row r="28" spans="2:16" ht="20.149999999999999" customHeight="1" thickBot="1">
      <c r="B28" s="18"/>
      <c r="C28" s="19" t="s">
        <v>36</v>
      </c>
      <c r="D28" s="35"/>
      <c r="E28" s="35"/>
      <c r="F28" s="30"/>
      <c r="G28" s="36"/>
      <c r="J28" s="39"/>
    </row>
    <row r="29" spans="2:16" ht="20.149999999999999" customHeight="1">
      <c r="B29" s="23" t="s">
        <v>37</v>
      </c>
      <c r="C29" s="45" t="s">
        <v>38</v>
      </c>
      <c r="D29" s="38">
        <v>224.31</v>
      </c>
      <c r="E29" s="38">
        <v>226.43</v>
      </c>
      <c r="F29" s="26">
        <v>2.1200000000000045</v>
      </c>
      <c r="G29" s="27">
        <v>0.94512059203781007</v>
      </c>
      <c r="K29" s="39"/>
    </row>
    <row r="30" spans="2:16" ht="20.149999999999999" customHeight="1">
      <c r="B30" s="23" t="s">
        <v>37</v>
      </c>
      <c r="C30" s="37" t="s">
        <v>39</v>
      </c>
      <c r="D30" s="38">
        <v>180.52</v>
      </c>
      <c r="E30" s="38">
        <v>181.57</v>
      </c>
      <c r="F30" s="26">
        <v>1.0499999999999829</v>
      </c>
      <c r="G30" s="27">
        <v>0.58165300243739182</v>
      </c>
      <c r="I30" s="39"/>
    </row>
    <row r="31" spans="2:16" ht="20.149999999999999" customHeight="1">
      <c r="B31" s="40" t="s">
        <v>28</v>
      </c>
      <c r="C31" s="46" t="s">
        <v>40</v>
      </c>
      <c r="D31" s="47">
        <v>241.03</v>
      </c>
      <c r="E31" s="47">
        <v>241.03</v>
      </c>
      <c r="F31" s="26">
        <v>0</v>
      </c>
      <c r="G31" s="27">
        <v>0</v>
      </c>
      <c r="L31" s="39"/>
      <c r="P31" s="39"/>
    </row>
    <row r="32" spans="2:16" ht="20.149999999999999" customHeight="1">
      <c r="B32" s="40" t="s">
        <v>21</v>
      </c>
      <c r="C32" s="48" t="s">
        <v>41</v>
      </c>
      <c r="D32" s="49">
        <v>1029.1500000000001</v>
      </c>
      <c r="E32" s="49">
        <v>1029.1500000000001</v>
      </c>
      <c r="F32" s="26">
        <v>0</v>
      </c>
      <c r="G32" s="27">
        <v>0</v>
      </c>
    </row>
    <row r="33" spans="2:17" ht="20.149999999999999" customHeight="1">
      <c r="B33" s="40" t="s">
        <v>21</v>
      </c>
      <c r="C33" s="46" t="s">
        <v>42</v>
      </c>
      <c r="D33" s="49">
        <v>578.73</v>
      </c>
      <c r="E33" s="49">
        <v>578.61</v>
      </c>
      <c r="F33" s="26">
        <v>-0.12000000000000455</v>
      </c>
      <c r="G33" s="27">
        <v>-2.0735057798972889E-2</v>
      </c>
      <c r="J33" s="39"/>
    </row>
    <row r="34" spans="2:17" ht="20.149999999999999" customHeight="1" thickBot="1">
      <c r="B34" s="40" t="s">
        <v>21</v>
      </c>
      <c r="C34" s="43" t="s">
        <v>43</v>
      </c>
      <c r="D34" s="44">
        <v>269.69</v>
      </c>
      <c r="E34" s="44">
        <v>269.94</v>
      </c>
      <c r="F34" s="26">
        <v>0.25</v>
      </c>
      <c r="G34" s="27">
        <v>9.2699024806265129E-2</v>
      </c>
      <c r="I34" s="39"/>
    </row>
    <row r="35" spans="2:17" ht="20.149999999999999" customHeight="1" thickBot="1">
      <c r="B35" s="50"/>
      <c r="C35" s="51" t="s">
        <v>44</v>
      </c>
      <c r="D35" s="52"/>
      <c r="E35" s="52"/>
      <c r="F35" s="53"/>
      <c r="G35" s="54"/>
      <c r="K35" s="39"/>
    </row>
    <row r="36" spans="2:17" ht="20.149999999999999" customHeight="1">
      <c r="B36" s="55" t="s">
        <v>45</v>
      </c>
      <c r="C36" s="56" t="s">
        <v>46</v>
      </c>
      <c r="D36" s="25">
        <v>52.18</v>
      </c>
      <c r="E36" s="25">
        <v>49.75</v>
      </c>
      <c r="F36" s="26">
        <v>-2.4299999999999997</v>
      </c>
      <c r="G36" s="27">
        <v>-4.6569566883863587</v>
      </c>
      <c r="K36" s="39"/>
    </row>
    <row r="37" spans="2:17" ht="20.149999999999999" customHeight="1" thickBot="1">
      <c r="B37" s="57" t="s">
        <v>45</v>
      </c>
      <c r="C37" s="58" t="s">
        <v>47</v>
      </c>
      <c r="D37" s="59">
        <v>45.51</v>
      </c>
      <c r="E37" s="59">
        <v>47.79</v>
      </c>
      <c r="F37" s="26">
        <v>2.2800000000000011</v>
      </c>
      <c r="G37" s="27">
        <v>5.009887936717206</v>
      </c>
      <c r="P37" s="39"/>
    </row>
    <row r="38" spans="2:17" ht="20.149999999999999" customHeight="1" thickBot="1">
      <c r="B38" s="60"/>
      <c r="C38" s="61" t="s">
        <v>48</v>
      </c>
      <c r="D38" s="62"/>
      <c r="E38" s="62"/>
      <c r="F38" s="53"/>
      <c r="G38" s="54"/>
      <c r="J38" s="39"/>
      <c r="K38" s="39"/>
      <c r="L38" s="39"/>
    </row>
    <row r="39" spans="2:17" ht="20.149999999999999" customHeight="1">
      <c r="B39" s="63" t="s">
        <v>49</v>
      </c>
      <c r="C39" s="56" t="s">
        <v>50</v>
      </c>
      <c r="D39" s="64">
        <v>448.49</v>
      </c>
      <c r="E39" s="64">
        <v>449.39</v>
      </c>
      <c r="F39" s="26">
        <v>0.89999999999997726</v>
      </c>
      <c r="G39" s="27">
        <v>0.20067337064371316</v>
      </c>
      <c r="I39" s="39"/>
      <c r="K39" s="39"/>
      <c r="L39" s="39"/>
    </row>
    <row r="40" spans="2:17" ht="20.149999999999999" customHeight="1">
      <c r="B40" s="32" t="s">
        <v>49</v>
      </c>
      <c r="C40" s="65" t="s">
        <v>51</v>
      </c>
      <c r="D40" s="47">
        <v>388.09</v>
      </c>
      <c r="E40" s="47">
        <v>387.17</v>
      </c>
      <c r="F40" s="26">
        <v>-0.91999999999995907</v>
      </c>
      <c r="G40" s="27">
        <v>-0.23705841428534313</v>
      </c>
      <c r="I40" s="39"/>
      <c r="J40" s="39"/>
      <c r="K40" s="39"/>
      <c r="L40" s="39"/>
      <c r="M40" s="39"/>
    </row>
    <row r="41" spans="2:17" ht="20.149999999999999" customHeight="1">
      <c r="B41" s="32" t="s">
        <v>49</v>
      </c>
      <c r="C41" s="65" t="s">
        <v>52</v>
      </c>
      <c r="D41" s="47">
        <v>360.29</v>
      </c>
      <c r="E41" s="47">
        <v>360.75</v>
      </c>
      <c r="F41" s="26">
        <v>0.45999999999997954</v>
      </c>
      <c r="G41" s="27">
        <v>0.12767492852978535</v>
      </c>
      <c r="I41" s="39"/>
      <c r="L41" s="39"/>
    </row>
    <row r="42" spans="2:17" ht="20.149999999999999" customHeight="1">
      <c r="B42" s="32" t="s">
        <v>53</v>
      </c>
      <c r="C42" s="65" t="s">
        <v>54</v>
      </c>
      <c r="D42" s="47">
        <v>354.43</v>
      </c>
      <c r="E42" s="47">
        <v>354.43</v>
      </c>
      <c r="F42" s="26">
        <v>0</v>
      </c>
      <c r="G42" s="27">
        <v>0</v>
      </c>
      <c r="I42" s="39"/>
      <c r="J42" s="39"/>
      <c r="K42" s="39"/>
    </row>
    <row r="43" spans="2:17" ht="20.149999999999999" customHeight="1">
      <c r="B43" s="32" t="s">
        <v>55</v>
      </c>
      <c r="C43" s="65" t="s">
        <v>56</v>
      </c>
      <c r="D43" s="47">
        <v>137.54</v>
      </c>
      <c r="E43" s="47">
        <v>141.84</v>
      </c>
      <c r="F43" s="26">
        <v>4.3000000000000114</v>
      </c>
      <c r="G43" s="27">
        <v>3.1263632397847942</v>
      </c>
      <c r="I43" s="39"/>
      <c r="J43" s="39"/>
      <c r="K43" s="39"/>
    </row>
    <row r="44" spans="2:17" ht="20.149999999999999" customHeight="1" thickBot="1">
      <c r="B44" s="66" t="s">
        <v>53</v>
      </c>
      <c r="C44" s="67" t="s">
        <v>57</v>
      </c>
      <c r="D44" s="68">
        <v>210.8</v>
      </c>
      <c r="E44" s="68">
        <v>210.8</v>
      </c>
      <c r="F44" s="26">
        <v>0</v>
      </c>
      <c r="G44" s="27">
        <v>0</v>
      </c>
      <c r="I44" s="39"/>
      <c r="J44" s="39"/>
      <c r="K44" s="39"/>
      <c r="Q44" s="39"/>
    </row>
    <row r="45" spans="2:17" ht="20.149999999999999" customHeight="1" thickBot="1">
      <c r="B45" s="50"/>
      <c r="C45" s="69" t="s">
        <v>58</v>
      </c>
      <c r="D45" s="52"/>
      <c r="E45" s="52"/>
      <c r="F45" s="53"/>
      <c r="G45" s="54"/>
      <c r="I45" s="39"/>
      <c r="J45" s="39"/>
      <c r="K45" s="39"/>
    </row>
    <row r="46" spans="2:17" ht="20.149999999999999" customHeight="1">
      <c r="B46" s="63" t="s">
        <v>53</v>
      </c>
      <c r="C46" s="70" t="s">
        <v>59</v>
      </c>
      <c r="D46" s="64">
        <v>133.65</v>
      </c>
      <c r="E46" s="64">
        <v>134.36000000000001</v>
      </c>
      <c r="F46" s="26">
        <v>0.71000000000000796</v>
      </c>
      <c r="G46" s="27">
        <v>0.53123830901608926</v>
      </c>
      <c r="I46" s="39"/>
      <c r="J46" s="39"/>
      <c r="K46" s="39"/>
    </row>
    <row r="47" spans="2:17" ht="20.149999999999999" customHeight="1" thickBot="1">
      <c r="B47" s="71" t="s">
        <v>53</v>
      </c>
      <c r="C47" s="72" t="s">
        <v>60</v>
      </c>
      <c r="D47" s="73">
        <v>160.43</v>
      </c>
      <c r="E47" s="73">
        <v>161.87</v>
      </c>
      <c r="F47" s="26">
        <v>1.4399999999999977</v>
      </c>
      <c r="G47" s="27">
        <v>0.89758773296765071</v>
      </c>
      <c r="I47" s="39"/>
      <c r="J47" s="39"/>
      <c r="K47" s="39"/>
      <c r="L47" s="39"/>
    </row>
    <row r="48" spans="2:17" ht="20.149999999999999" customHeight="1" thickBot="1">
      <c r="B48" s="18"/>
      <c r="C48" s="19" t="s">
        <v>61</v>
      </c>
      <c r="D48" s="35"/>
      <c r="E48" s="35"/>
      <c r="F48" s="30"/>
      <c r="G48" s="36"/>
      <c r="I48" s="39"/>
      <c r="J48" s="39"/>
      <c r="K48" s="39"/>
    </row>
    <row r="49" spans="1:12" s="74" customFormat="1" ht="20.149999999999999" customHeight="1" thickBot="1">
      <c r="B49" s="75" t="s">
        <v>53</v>
      </c>
      <c r="C49" s="76" t="s">
        <v>62</v>
      </c>
      <c r="D49" s="77">
        <v>128.97399999999999</v>
      </c>
      <c r="E49" s="77">
        <v>126.623</v>
      </c>
      <c r="F49" s="78">
        <v>-2.3509999999999849</v>
      </c>
      <c r="G49" s="79">
        <v>-1.8228480158791598</v>
      </c>
      <c r="I49" s="80"/>
      <c r="J49" s="80"/>
      <c r="K49" s="80"/>
      <c r="L49" s="80"/>
    </row>
    <row r="50" spans="1:12" s="74" customFormat="1" ht="9" customHeight="1">
      <c r="B50" s="81"/>
      <c r="C50" s="82"/>
      <c r="D50" s="83"/>
      <c r="E50" s="83"/>
      <c r="F50" s="83"/>
      <c r="G50" s="84"/>
    </row>
    <row r="51" spans="1:12" s="74" customFormat="1" ht="12" customHeight="1">
      <c r="B51" s="85" t="s">
        <v>63</v>
      </c>
      <c r="C51" s="86"/>
      <c r="D51" s="80"/>
      <c r="E51" s="80"/>
      <c r="F51" s="86"/>
      <c r="G51" s="1"/>
      <c r="H51" s="83"/>
    </row>
    <row r="52" spans="1:12" s="74" customFormat="1" ht="12" customHeight="1">
      <c r="B52" s="87" t="s">
        <v>64</v>
      </c>
      <c r="C52" s="86"/>
      <c r="D52" s="88"/>
      <c r="E52" s="88"/>
      <c r="F52" s="88"/>
      <c r="G52" s="1"/>
      <c r="H52" s="83"/>
    </row>
    <row r="53" spans="1:12" ht="11.25" customHeight="1">
      <c r="A53" s="74"/>
      <c r="B53" s="87" t="s">
        <v>65</v>
      </c>
      <c r="C53" s="86"/>
      <c r="D53" s="86"/>
      <c r="E53" s="86"/>
      <c r="F53" s="88"/>
      <c r="G53" s="89"/>
    </row>
    <row r="54" spans="1:12" ht="12.65" customHeight="1">
      <c r="A54" s="74"/>
      <c r="B54" s="87" t="s">
        <v>66</v>
      </c>
      <c r="C54" s="86"/>
      <c r="D54" s="86"/>
      <c r="E54" s="86"/>
      <c r="F54" s="86"/>
      <c r="G54" s="11"/>
    </row>
    <row r="55" spans="1:12" ht="8.15" customHeight="1">
      <c r="A55" s="74"/>
      <c r="B55" s="87"/>
      <c r="C55" s="86"/>
      <c r="D55" s="86"/>
      <c r="E55" s="86"/>
      <c r="F55" s="86"/>
      <c r="G55" s="90"/>
      <c r="I55" s="39"/>
    </row>
    <row r="56" spans="1:12" ht="74.5" customHeight="1">
      <c r="B56" s="679" t="s">
        <v>67</v>
      </c>
      <c r="C56" s="679"/>
      <c r="D56" s="679"/>
      <c r="E56" s="679"/>
      <c r="F56" s="679"/>
      <c r="G56" s="679"/>
      <c r="H56" s="84"/>
      <c r="I56" s="91"/>
      <c r="K56" s="39"/>
    </row>
    <row r="57" spans="1:12" ht="37.5" customHeight="1">
      <c r="A57" s="74"/>
      <c r="G57" s="91"/>
    </row>
    <row r="58" spans="1:12" ht="118.4" customHeight="1">
      <c r="A58" s="74"/>
      <c r="G58" s="91"/>
    </row>
    <row r="59" spans="1:12" ht="13.5" customHeight="1">
      <c r="B59" s="11"/>
      <c r="C59" s="11"/>
      <c r="F59" s="11"/>
      <c r="G59" s="92"/>
    </row>
    <row r="60" spans="1:12" ht="15" customHeight="1">
      <c r="B60" s="11"/>
      <c r="C60" s="11"/>
      <c r="D60" s="11"/>
      <c r="E60" s="11"/>
      <c r="F60" s="11"/>
      <c r="G60" s="92"/>
    </row>
    <row r="61" spans="1:12" ht="15" customHeight="1">
      <c r="B61" s="11"/>
      <c r="C61" s="11"/>
      <c r="D61" s="93"/>
      <c r="E61" s="93"/>
      <c r="F61" s="90"/>
      <c r="G61" s="92"/>
    </row>
    <row r="62" spans="1:12" ht="15" customHeight="1">
      <c r="B62" s="94"/>
      <c r="C62" s="95"/>
      <c r="D62" s="91"/>
      <c r="E62" s="91"/>
      <c r="F62" s="96"/>
    </row>
    <row r="63" spans="1:12" ht="15" customHeight="1">
      <c r="B63" s="94"/>
      <c r="C63" s="95"/>
      <c r="D63" s="91"/>
      <c r="E63" s="91"/>
      <c r="F63" s="96"/>
      <c r="G63" s="91"/>
    </row>
    <row r="64" spans="1:12" ht="15" customHeight="1">
      <c r="B64" s="94"/>
      <c r="C64" s="95"/>
      <c r="D64" s="91"/>
      <c r="E64" s="91"/>
      <c r="F64" s="96"/>
      <c r="G64" s="91"/>
      <c r="I64" s="97"/>
    </row>
    <row r="65" spans="2:9" ht="15" customHeight="1">
      <c r="B65" s="94"/>
      <c r="C65" s="95"/>
      <c r="D65" s="91"/>
      <c r="E65" s="91"/>
      <c r="F65" s="96"/>
      <c r="H65" s="97"/>
      <c r="I65" s="97"/>
    </row>
    <row r="66" spans="2:9" ht="15" customHeight="1">
      <c r="B66" s="94"/>
      <c r="C66" s="98"/>
      <c r="D66" s="91"/>
      <c r="E66" s="91"/>
      <c r="F66" s="96"/>
      <c r="H66" s="97"/>
      <c r="I66" s="97"/>
    </row>
    <row r="67" spans="2:9" ht="15" customHeight="1">
      <c r="B67" s="94"/>
      <c r="C67" s="98"/>
      <c r="D67" s="91"/>
      <c r="E67" s="91"/>
      <c r="F67" s="96"/>
      <c r="H67" s="97"/>
    </row>
    <row r="68" spans="2:9" ht="15" customHeight="1">
      <c r="B68" s="99"/>
      <c r="C68" s="98"/>
      <c r="D68" s="91"/>
      <c r="E68" s="91"/>
      <c r="F68" s="96"/>
      <c r="G68" s="91"/>
      <c r="H68" s="97"/>
    </row>
    <row r="69" spans="2:9" ht="15" customHeight="1">
      <c r="B69" s="94"/>
      <c r="C69" s="98"/>
      <c r="D69" s="91"/>
      <c r="E69" s="91"/>
      <c r="F69" s="96"/>
      <c r="H69" s="97"/>
      <c r="I69" s="97"/>
    </row>
    <row r="70" spans="2:9" ht="15" customHeight="1">
      <c r="B70" s="94"/>
      <c r="C70" s="98"/>
      <c r="D70" s="91"/>
      <c r="E70" s="91"/>
      <c r="F70" s="96"/>
      <c r="G70" s="91"/>
      <c r="I70" s="97"/>
    </row>
    <row r="71" spans="2:9" ht="15" customHeight="1">
      <c r="B71" s="94"/>
      <c r="C71" s="98"/>
      <c r="D71" s="91"/>
      <c r="E71" s="91"/>
      <c r="F71" s="96"/>
      <c r="G71" s="100" t="s">
        <v>68</v>
      </c>
    </row>
    <row r="72" spans="2:9" ht="15" customHeight="1">
      <c r="B72" s="94"/>
      <c r="C72" s="101"/>
      <c r="D72" s="91"/>
      <c r="E72" s="91"/>
      <c r="F72" s="96"/>
      <c r="G72" s="91"/>
    </row>
    <row r="73" spans="2:9" ht="15" customHeight="1">
      <c r="B73" s="94"/>
      <c r="C73" s="102"/>
      <c r="D73" s="91"/>
      <c r="E73" s="91"/>
      <c r="F73" s="96"/>
      <c r="G73" s="103"/>
    </row>
    <row r="74" spans="2:9" ht="15" customHeight="1">
      <c r="B74" s="94"/>
      <c r="C74" s="102"/>
      <c r="D74" s="91"/>
      <c r="E74" s="91"/>
      <c r="F74" s="96"/>
      <c r="G74" s="104"/>
    </row>
    <row r="75" spans="2:9" ht="15" customHeight="1">
      <c r="B75" s="94"/>
      <c r="C75" s="98"/>
      <c r="D75" s="105"/>
      <c r="E75" s="105"/>
      <c r="F75" s="96"/>
      <c r="G75" s="104"/>
    </row>
    <row r="76" spans="2:9" ht="15" customHeight="1">
      <c r="B76" s="94"/>
      <c r="C76" s="106"/>
      <c r="D76" s="91"/>
      <c r="E76" s="91"/>
      <c r="F76" s="96"/>
    </row>
    <row r="77" spans="2:9" ht="15" customHeight="1">
      <c r="B77" s="107"/>
      <c r="C77" s="106"/>
      <c r="D77" s="108"/>
      <c r="E77" s="108"/>
      <c r="F77" s="96"/>
    </row>
    <row r="78" spans="2:9" ht="12" customHeight="1">
      <c r="B78" s="107"/>
      <c r="C78" s="106"/>
      <c r="D78" s="91"/>
      <c r="E78" s="91"/>
      <c r="F78" s="96"/>
    </row>
    <row r="79" spans="2:9" ht="15" customHeight="1">
      <c r="B79" s="107"/>
      <c r="C79" s="106"/>
      <c r="D79" s="103"/>
      <c r="E79" s="103"/>
      <c r="F79" s="103"/>
    </row>
    <row r="80" spans="2:9" ht="13.5" customHeight="1">
      <c r="B80" s="106"/>
      <c r="C80" s="104"/>
      <c r="D80" s="104"/>
      <c r="E80" s="104"/>
      <c r="F80" s="104"/>
      <c r="H80" s="97"/>
    </row>
    <row r="81" spans="2:6">
      <c r="B81" s="109"/>
      <c r="C81" s="104"/>
      <c r="D81" s="104"/>
      <c r="E81" s="104"/>
      <c r="F81" s="104"/>
    </row>
    <row r="82" spans="2:6" ht="11.25" customHeight="1">
      <c r="B82" s="109"/>
    </row>
    <row r="83" spans="2:6">
      <c r="B83" s="109"/>
    </row>
    <row r="86" spans="2:6">
      <c r="D86" s="110"/>
      <c r="E86" s="110"/>
    </row>
  </sheetData>
  <mergeCells count="4">
    <mergeCell ref="B2:F2"/>
    <mergeCell ref="B4:G4"/>
    <mergeCell ref="B6:G6"/>
    <mergeCell ref="B56:G56"/>
  </mergeCells>
  <conditionalFormatting sqref="F11:G15">
    <cfRule type="cellIs" dxfId="57" priority="19" stopIfTrue="1" operator="lessThan">
      <formula>0</formula>
    </cfRule>
    <cfRule type="cellIs" dxfId="56" priority="20" stopIfTrue="1" operator="greaterThanOrEqual">
      <formula>0</formula>
    </cfRule>
  </conditionalFormatting>
  <conditionalFormatting sqref="F17:G20">
    <cfRule type="cellIs" dxfId="55" priority="17" stopIfTrue="1" operator="lessThan">
      <formula>0</formula>
    </cfRule>
    <cfRule type="cellIs" dxfId="54" priority="18" stopIfTrue="1" operator="greaterThanOrEqual">
      <formula>0</formula>
    </cfRule>
  </conditionalFormatting>
  <conditionalFormatting sqref="F22:G24">
    <cfRule type="cellIs" dxfId="53" priority="15" stopIfTrue="1" operator="lessThan">
      <formula>0</formula>
    </cfRule>
    <cfRule type="cellIs" dxfId="52" priority="16" stopIfTrue="1" operator="greaterThanOrEqual">
      <formula>0</formula>
    </cfRule>
  </conditionalFormatting>
  <conditionalFormatting sqref="F26:G27">
    <cfRule type="cellIs" dxfId="51" priority="13" stopIfTrue="1" operator="lessThan">
      <formula>0</formula>
    </cfRule>
    <cfRule type="cellIs" dxfId="50" priority="14" stopIfTrue="1" operator="greaterThanOrEqual">
      <formula>0</formula>
    </cfRule>
  </conditionalFormatting>
  <conditionalFormatting sqref="F29:G34">
    <cfRule type="cellIs" dxfId="49" priority="11" stopIfTrue="1" operator="lessThan">
      <formula>0</formula>
    </cfRule>
    <cfRule type="cellIs" dxfId="48" priority="12" stopIfTrue="1" operator="greaterThanOrEqual">
      <formula>0</formula>
    </cfRule>
  </conditionalFormatting>
  <conditionalFormatting sqref="F36:G37">
    <cfRule type="cellIs" dxfId="47" priority="9" stopIfTrue="1" operator="lessThan">
      <formula>0</formula>
    </cfRule>
    <cfRule type="cellIs" dxfId="46" priority="10" stopIfTrue="1" operator="greaterThanOrEqual">
      <formula>0</formula>
    </cfRule>
  </conditionalFormatting>
  <conditionalFormatting sqref="F39:G44">
    <cfRule type="cellIs" dxfId="45" priority="7" stopIfTrue="1" operator="lessThan">
      <formula>0</formula>
    </cfRule>
    <cfRule type="cellIs" dxfId="44" priority="8" stopIfTrue="1" operator="greaterThanOrEqual">
      <formula>0</formula>
    </cfRule>
  </conditionalFormatting>
  <conditionalFormatting sqref="F46:G47">
    <cfRule type="cellIs" dxfId="43" priority="5" stopIfTrue="1" operator="lessThan">
      <formula>0</formula>
    </cfRule>
    <cfRule type="cellIs" dxfId="42" priority="6" stopIfTrue="1" operator="greaterThanOrEqual">
      <formula>0</formula>
    </cfRule>
  </conditionalFormatting>
  <conditionalFormatting sqref="F49:G49">
    <cfRule type="cellIs" dxfId="41" priority="3" stopIfTrue="1" operator="lessThan">
      <formula>0</formula>
    </cfRule>
    <cfRule type="cellIs" dxfId="40" priority="4" stopIfTrue="1" operator="greaterThanOrEqual">
      <formula>0</formula>
    </cfRule>
  </conditionalFormatting>
  <conditionalFormatting sqref="G35 G38 G45">
    <cfRule type="cellIs" dxfId="39" priority="23" stopIfTrue="1" operator="lessThan">
      <formula>0</formula>
    </cfRule>
    <cfRule type="cellIs" dxfId="38" priority="24" stopIfTrue="1" operator="greaterThanOrEqual">
      <formula>0</formula>
    </cfRule>
  </conditionalFormatting>
  <conditionalFormatting sqref="G57:G61">
    <cfRule type="cellIs" dxfId="37" priority="21" stopIfTrue="1" operator="lessThan">
      <formula>0</formula>
    </cfRule>
    <cfRule type="cellIs" dxfId="36" priority="22" stopIfTrue="1" operator="greaterThanOrEqual">
      <formula>0</formula>
    </cfRule>
  </conditionalFormatting>
  <conditionalFormatting sqref="G63:G64 G68 G70 G72">
    <cfRule type="cellIs" dxfId="35" priority="27" stopIfTrue="1" operator="lessThan">
      <formula>0</formula>
    </cfRule>
    <cfRule type="cellIs" dxfId="34" priority="28" stopIfTrue="1" operator="greaterThanOrEqual">
      <formula>0</formula>
    </cfRule>
  </conditionalFormatting>
  <conditionalFormatting sqref="H51:H52">
    <cfRule type="cellIs" dxfId="33" priority="25" stopIfTrue="1" operator="lessThan">
      <formula>0</formula>
    </cfRule>
    <cfRule type="cellIs" dxfId="32" priority="26" stopIfTrue="1" operator="greaterThanOrEqual">
      <formula>0</formula>
    </cfRule>
  </conditionalFormatting>
  <conditionalFormatting sqref="I56">
    <cfRule type="cellIs" dxfId="31" priority="1" stopIfTrue="1" operator="lessThan">
      <formula>0</formula>
    </cfRule>
    <cfRule type="cellIs" dxfId="30" priority="2" stopIfTrue="1" operator="greaterThanOrEqual">
      <formula>0</formula>
    </cfRule>
  </conditionalFormatting>
  <printOptions horizontalCentered="1" verticalCentered="1"/>
  <pageMargins left="0.7" right="0.7" top="0.75" bottom="0.75" header="0.3" footer="0.3"/>
  <pageSetup paperSize="9" scale="40" orientation="portrait" r:id="rId1"/>
  <headerFooter scaleWithDoc="0" alignWithMargins="0">
    <oddHeader xml:space="preserve">&amp;R&amp;"Verdana,Normal"&amp;8 4
</oddHeader>
    <oddFooter>&amp;R&amp;"Verdana,Cursiva"&amp;8SG. Análisis, Coordinación y Estadística</oddFooter>
  </headerFooter>
  <ignoredErrors>
    <ignoredError sqref="B11:B49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94C46-00C6-46C8-8D87-B46B184EF802}">
  <sheetPr>
    <pageSetUpPr fitToPage="1"/>
  </sheetPr>
  <dimension ref="B1:K82"/>
  <sheetViews>
    <sheetView showGridLines="0" zoomScaleNormal="100" zoomScaleSheetLayoutView="100" workbookViewId="0"/>
  </sheetViews>
  <sheetFormatPr baseColWidth="10" defaultColWidth="11.54296875" defaultRowHeight="13.5"/>
  <cols>
    <col min="1" max="1" width="3.1796875" style="74" customWidth="1"/>
    <col min="2" max="2" width="9.453125" style="74" customWidth="1"/>
    <col min="3" max="3" width="61.81640625" style="74" customWidth="1"/>
    <col min="4" max="7" width="28.54296875" style="74" customWidth="1"/>
    <col min="8" max="8" width="3.1796875" style="74" customWidth="1"/>
    <col min="9" max="9" width="10.54296875" style="74" customWidth="1"/>
    <col min="10" max="16384" width="11.54296875" style="74"/>
  </cols>
  <sheetData>
    <row r="1" spans="2:7" ht="14.25" customHeight="1"/>
    <row r="2" spans="2:7" ht="7.5" customHeight="1" thickBot="1">
      <c r="B2" s="111"/>
      <c r="C2" s="111"/>
      <c r="D2" s="111"/>
      <c r="E2" s="111"/>
      <c r="F2" s="111"/>
      <c r="G2" s="111"/>
    </row>
    <row r="3" spans="2:7" ht="21" customHeight="1" thickBot="1">
      <c r="B3" s="676" t="s">
        <v>69</v>
      </c>
      <c r="C3" s="677"/>
      <c r="D3" s="677"/>
      <c r="E3" s="677"/>
      <c r="F3" s="677"/>
      <c r="G3" s="678"/>
    </row>
    <row r="4" spans="2:7" ht="14.25" customHeight="1">
      <c r="B4" s="5"/>
      <c r="C4" s="112" t="s">
        <v>3</v>
      </c>
      <c r="D4" s="113" t="s">
        <v>4</v>
      </c>
      <c r="E4" s="113" t="s">
        <v>5</v>
      </c>
      <c r="F4" s="8" t="s">
        <v>6</v>
      </c>
      <c r="G4" s="9" t="s">
        <v>6</v>
      </c>
    </row>
    <row r="5" spans="2:7">
      <c r="B5" s="10"/>
      <c r="C5" s="114" t="s">
        <v>7</v>
      </c>
      <c r="D5" s="115" t="s">
        <v>70</v>
      </c>
      <c r="E5" s="115" t="s">
        <v>71</v>
      </c>
      <c r="F5" s="13" t="s">
        <v>10</v>
      </c>
      <c r="G5" s="14" t="s">
        <v>10</v>
      </c>
    </row>
    <row r="6" spans="2:7" ht="14" thickBot="1">
      <c r="B6" s="116"/>
      <c r="C6" s="117"/>
      <c r="D6" s="15">
        <v>2026</v>
      </c>
      <c r="E6" s="15">
        <v>2026</v>
      </c>
      <c r="F6" s="118" t="s">
        <v>11</v>
      </c>
      <c r="G6" s="119" t="s">
        <v>12</v>
      </c>
    </row>
    <row r="7" spans="2:7" ht="20.149999999999999" customHeight="1" thickBot="1">
      <c r="B7" s="50"/>
      <c r="C7" s="69" t="s">
        <v>72</v>
      </c>
      <c r="D7" s="120"/>
      <c r="E7" s="120"/>
      <c r="F7" s="121"/>
      <c r="G7" s="122"/>
    </row>
    <row r="8" spans="2:7" ht="20.149999999999999" customHeight="1">
      <c r="B8" s="123" t="s">
        <v>14</v>
      </c>
      <c r="C8" s="124" t="s">
        <v>73</v>
      </c>
      <c r="D8" s="125">
        <v>44.214341595937682</v>
      </c>
      <c r="E8" s="125">
        <v>44.910862628448115</v>
      </c>
      <c r="F8" s="126">
        <v>0.69652103251043229</v>
      </c>
      <c r="G8" s="127">
        <v>1.5753282925158913</v>
      </c>
    </row>
    <row r="9" spans="2:7" ht="20.149999999999999" customHeight="1">
      <c r="B9" s="123" t="s">
        <v>14</v>
      </c>
      <c r="C9" s="124" t="s">
        <v>74</v>
      </c>
      <c r="D9" s="125">
        <v>52.457388602169075</v>
      </c>
      <c r="E9" s="125">
        <v>52.633917482076463</v>
      </c>
      <c r="F9" s="126">
        <v>0.17652887990738719</v>
      </c>
      <c r="G9" s="127">
        <v>0.33651861941919492</v>
      </c>
    </row>
    <row r="10" spans="2:7" ht="20.149999999999999" customHeight="1">
      <c r="B10" s="123" t="s">
        <v>14</v>
      </c>
      <c r="C10" s="124" t="s">
        <v>75</v>
      </c>
      <c r="D10" s="125">
        <v>55.515844304750352</v>
      </c>
      <c r="E10" s="125">
        <v>60.657293799387432</v>
      </c>
      <c r="F10" s="126">
        <v>5.1414494946370795</v>
      </c>
      <c r="G10" s="127">
        <v>9.2612290401519459</v>
      </c>
    </row>
    <row r="11" spans="2:7" ht="20.149999999999999" customHeight="1">
      <c r="B11" s="123" t="s">
        <v>14</v>
      </c>
      <c r="C11" s="124" t="s">
        <v>76</v>
      </c>
      <c r="D11" s="125">
        <v>31.106032130583987</v>
      </c>
      <c r="E11" s="125">
        <v>32.69</v>
      </c>
      <c r="F11" s="126">
        <v>1.5752958461165782</v>
      </c>
      <c r="G11" s="127">
        <v>5.0642776921962991</v>
      </c>
    </row>
    <row r="12" spans="2:7" ht="20.149999999999999" customHeight="1">
      <c r="B12" s="123" t="s">
        <v>14</v>
      </c>
      <c r="C12" s="124" t="s">
        <v>77</v>
      </c>
      <c r="D12" s="125">
        <v>29.742536093881526</v>
      </c>
      <c r="E12" s="125">
        <v>30.91199337556079</v>
      </c>
      <c r="F12" s="126">
        <v>1.1694572816792643</v>
      </c>
      <c r="G12" s="127">
        <v>3.9319353197989102</v>
      </c>
    </row>
    <row r="13" spans="2:7" ht="20.149999999999999" customHeight="1">
      <c r="B13" s="123" t="s">
        <v>14</v>
      </c>
      <c r="C13" s="124" t="s">
        <v>78</v>
      </c>
      <c r="D13" s="125">
        <v>29.742536093881526</v>
      </c>
      <c r="E13" s="125">
        <v>30.91199337556079</v>
      </c>
      <c r="F13" s="126">
        <v>1.1694572816792643</v>
      </c>
      <c r="G13" s="127">
        <v>3.9319353197989102</v>
      </c>
    </row>
    <row r="14" spans="2:7" ht="20.149999999999999" customHeight="1">
      <c r="B14" s="123" t="s">
        <v>14</v>
      </c>
      <c r="C14" s="124" t="s">
        <v>79</v>
      </c>
      <c r="D14" s="125">
        <v>31.468395122707829</v>
      </c>
      <c r="E14" s="125">
        <v>33.151546710660227</v>
      </c>
      <c r="F14" s="126">
        <v>1.6831515879523984</v>
      </c>
      <c r="G14" s="127">
        <v>5.3487048875200571</v>
      </c>
    </row>
    <row r="15" spans="2:7" ht="20.149999999999999" customHeight="1">
      <c r="B15" s="123" t="s">
        <v>14</v>
      </c>
      <c r="C15" s="124" t="s">
        <v>80</v>
      </c>
      <c r="D15" s="125">
        <v>33.164038817889704</v>
      </c>
      <c r="E15" s="125">
        <v>32.510074397636835</v>
      </c>
      <c r="F15" s="126">
        <v>-0.65396442025286916</v>
      </c>
      <c r="G15" s="127">
        <v>-1.9719082583515188</v>
      </c>
    </row>
    <row r="16" spans="2:7" ht="20.149999999999999" customHeight="1">
      <c r="B16" s="123" t="s">
        <v>14</v>
      </c>
      <c r="C16" s="124" t="s">
        <v>81</v>
      </c>
      <c r="D16" s="125">
        <v>31.669769438690324</v>
      </c>
      <c r="E16" s="125">
        <v>31.871433523105857</v>
      </c>
      <c r="F16" s="126">
        <v>0.2016640844155333</v>
      </c>
      <c r="G16" s="127">
        <v>0.63677155846029621</v>
      </c>
    </row>
    <row r="17" spans="2:7" ht="20.149999999999999" customHeight="1">
      <c r="B17" s="123" t="s">
        <v>14</v>
      </c>
      <c r="C17" s="124" t="s">
        <v>82</v>
      </c>
      <c r="D17" s="125">
        <v>31.426456358564302</v>
      </c>
      <c r="E17" s="125">
        <v>30.574877918201384</v>
      </c>
      <c r="F17" s="126">
        <v>-0.85157844036291763</v>
      </c>
      <c r="G17" s="127">
        <v>-2.7097501246934144</v>
      </c>
    </row>
    <row r="18" spans="2:7" ht="20.149999999999999" customHeight="1">
      <c r="B18" s="123" t="s">
        <v>14</v>
      </c>
      <c r="C18" s="124" t="s">
        <v>83</v>
      </c>
      <c r="D18" s="125">
        <v>64.105574589327787</v>
      </c>
      <c r="E18" s="125">
        <v>64.108660170952191</v>
      </c>
      <c r="F18" s="126">
        <v>3.0855816244041989E-3</v>
      </c>
      <c r="G18" s="127">
        <v>4.8132812850809614E-3</v>
      </c>
    </row>
    <row r="19" spans="2:7" ht="20.149999999999999" customHeight="1">
      <c r="B19" s="123" t="s">
        <v>14</v>
      </c>
      <c r="C19" s="124" t="s">
        <v>84</v>
      </c>
      <c r="D19" s="125">
        <v>67.212230215827333</v>
      </c>
      <c r="E19" s="125">
        <v>67.212230215827333</v>
      </c>
      <c r="F19" s="126">
        <v>0</v>
      </c>
      <c r="G19" s="127">
        <v>0</v>
      </c>
    </row>
    <row r="20" spans="2:7" ht="20.149999999999999" customHeight="1">
      <c r="B20" s="123" t="s">
        <v>14</v>
      </c>
      <c r="C20" s="124" t="s">
        <v>85</v>
      </c>
      <c r="D20" s="125">
        <v>63.887509743149103</v>
      </c>
      <c r="E20" s="125">
        <v>63.422621597569588</v>
      </c>
      <c r="F20" s="126">
        <v>-0.46488814557951486</v>
      </c>
      <c r="G20" s="127">
        <v>-0.72766671834375529</v>
      </c>
    </row>
    <row r="21" spans="2:7" ht="20.149999999999999" customHeight="1">
      <c r="B21" s="123" t="s">
        <v>14</v>
      </c>
      <c r="C21" s="128" t="s">
        <v>86</v>
      </c>
      <c r="D21" s="125">
        <v>62.636000000000003</v>
      </c>
      <c r="E21" s="129">
        <v>63.318000000000005</v>
      </c>
      <c r="F21" s="126">
        <v>0.68200000000000216</v>
      </c>
      <c r="G21" s="127">
        <v>1.0888307043872487</v>
      </c>
    </row>
    <row r="22" spans="2:7" ht="20.149999999999999" customHeight="1">
      <c r="B22" s="123" t="s">
        <v>14</v>
      </c>
      <c r="C22" s="128" t="s">
        <v>87</v>
      </c>
      <c r="D22" s="125">
        <v>66.775000000000006</v>
      </c>
      <c r="E22" s="129">
        <v>66.775000000000006</v>
      </c>
      <c r="F22" s="126">
        <v>0</v>
      </c>
      <c r="G22" s="127">
        <v>0</v>
      </c>
    </row>
    <row r="23" spans="2:7" ht="20.149999999999999" customHeight="1">
      <c r="B23" s="123" t="s">
        <v>14</v>
      </c>
      <c r="C23" s="124" t="s">
        <v>88</v>
      </c>
      <c r="D23" s="125">
        <v>78.512378916002064</v>
      </c>
      <c r="E23" s="125">
        <v>78.512378916002064</v>
      </c>
      <c r="F23" s="126">
        <v>0</v>
      </c>
      <c r="G23" s="127">
        <v>0</v>
      </c>
    </row>
    <row r="24" spans="2:7" ht="20.149999999999999" customHeight="1">
      <c r="B24" s="123" t="s">
        <v>14</v>
      </c>
      <c r="C24" s="124" t="s">
        <v>89</v>
      </c>
      <c r="D24" s="125">
        <v>97.012357776332891</v>
      </c>
      <c r="E24" s="125">
        <v>97.012357776332891</v>
      </c>
      <c r="F24" s="126">
        <v>0</v>
      </c>
      <c r="G24" s="127">
        <v>-1.4210854715202004E-14</v>
      </c>
    </row>
    <row r="25" spans="2:7" ht="20.149999999999999" customHeight="1">
      <c r="B25" s="123" t="s">
        <v>14</v>
      </c>
      <c r="C25" s="124" t="s">
        <v>90</v>
      </c>
      <c r="D25" s="130">
        <v>163.85843066618716</v>
      </c>
      <c r="E25" s="130">
        <v>175.05</v>
      </c>
      <c r="F25" s="126">
        <v>11.191569333812851</v>
      </c>
      <c r="G25" s="127">
        <v>6.8300235076779927</v>
      </c>
    </row>
    <row r="26" spans="2:7" ht="20.149999999999999" customHeight="1" thickBot="1">
      <c r="B26" s="123" t="s">
        <v>14</v>
      </c>
      <c r="C26" s="124" t="s">
        <v>91</v>
      </c>
      <c r="D26" s="125">
        <v>44.46</v>
      </c>
      <c r="E26" s="125">
        <v>44.46</v>
      </c>
      <c r="F26" s="126">
        <v>0</v>
      </c>
      <c r="G26" s="127">
        <v>0</v>
      </c>
    </row>
    <row r="27" spans="2:7" ht="20.149999999999999" customHeight="1" thickBot="1">
      <c r="B27" s="50"/>
      <c r="C27" s="69" t="s">
        <v>92</v>
      </c>
      <c r="D27" s="131"/>
      <c r="E27" s="131"/>
      <c r="F27" s="132"/>
      <c r="G27" s="133"/>
    </row>
    <row r="28" spans="2:7" ht="20.149999999999999" customHeight="1">
      <c r="B28" s="134" t="s">
        <v>14</v>
      </c>
      <c r="C28" s="135" t="s">
        <v>93</v>
      </c>
      <c r="D28" s="136">
        <v>66.237429786643858</v>
      </c>
      <c r="E28" s="136">
        <v>70.900865161039505</v>
      </c>
      <c r="F28" s="137">
        <v>4.6634353743956467</v>
      </c>
      <c r="G28" s="138">
        <v>7.040483589742152</v>
      </c>
    </row>
    <row r="29" spans="2:7" ht="20.149999999999999" customHeight="1">
      <c r="B29" s="139" t="s">
        <v>14</v>
      </c>
      <c r="C29" s="140" t="s">
        <v>94</v>
      </c>
      <c r="D29" s="26">
        <v>167.67268309614718</v>
      </c>
      <c r="E29" s="26">
        <v>167.67268309614718</v>
      </c>
      <c r="F29" s="137">
        <v>0</v>
      </c>
      <c r="G29" s="138">
        <v>0</v>
      </c>
    </row>
    <row r="30" spans="2:7" ht="20.149999999999999" customHeight="1">
      <c r="B30" s="139" t="s">
        <v>14</v>
      </c>
      <c r="C30" s="140" t="s">
        <v>95</v>
      </c>
      <c r="D30" s="26">
        <v>146.54950354753217</v>
      </c>
      <c r="E30" s="26">
        <v>152.52732170964782</v>
      </c>
      <c r="F30" s="137">
        <v>5.9778181621156534</v>
      </c>
      <c r="G30" s="138">
        <v>4.0790436114829873</v>
      </c>
    </row>
    <row r="31" spans="2:7" ht="20.149999999999999" customHeight="1">
      <c r="B31" s="139" t="s">
        <v>14</v>
      </c>
      <c r="C31" s="140" t="s">
        <v>96</v>
      </c>
      <c r="D31" s="26">
        <v>120.2594066852223</v>
      </c>
      <c r="E31" s="26">
        <v>156.08499967796095</v>
      </c>
      <c r="F31" s="137">
        <v>35.825592992738649</v>
      </c>
      <c r="G31" s="138">
        <v>29.790262550115301</v>
      </c>
    </row>
    <row r="32" spans="2:7" ht="20.149999999999999" customHeight="1">
      <c r="B32" s="139" t="s">
        <v>14</v>
      </c>
      <c r="C32" s="140" t="s">
        <v>97</v>
      </c>
      <c r="D32" s="26">
        <v>48.340307152693292</v>
      </c>
      <c r="E32" s="26">
        <v>62.572477467265003</v>
      </c>
      <c r="F32" s="137">
        <v>14.232170314571711</v>
      </c>
      <c r="G32" s="138">
        <v>29.441621604960687</v>
      </c>
    </row>
    <row r="33" spans="2:7" ht="20.149999999999999" customHeight="1">
      <c r="B33" s="139" t="s">
        <v>14</v>
      </c>
      <c r="C33" s="140" t="s">
        <v>98</v>
      </c>
      <c r="D33" s="26">
        <v>70.740827202419325</v>
      </c>
      <c r="E33" s="26">
        <v>135.1471589262004</v>
      </c>
      <c r="F33" s="137">
        <v>64.406331723781079</v>
      </c>
      <c r="G33" s="138">
        <v>91.045488540143054</v>
      </c>
    </row>
    <row r="34" spans="2:7" ht="20.149999999999999" customHeight="1">
      <c r="B34" s="139" t="s">
        <v>14</v>
      </c>
      <c r="C34" s="140" t="s">
        <v>99</v>
      </c>
      <c r="D34" s="26">
        <v>33.517078770896504</v>
      </c>
      <c r="E34" s="26">
        <v>33.68123890550801</v>
      </c>
      <c r="F34" s="137">
        <v>0.16416013461150669</v>
      </c>
      <c r="G34" s="138">
        <v>0.48978055555978983</v>
      </c>
    </row>
    <row r="35" spans="2:7" ht="20.149999999999999" customHeight="1">
      <c r="B35" s="139" t="s">
        <v>14</v>
      </c>
      <c r="C35" s="140" t="s">
        <v>100</v>
      </c>
      <c r="D35" s="26">
        <v>205.69350687180602</v>
      </c>
      <c r="E35" s="26">
        <v>205.67846238328997</v>
      </c>
      <c r="F35" s="137">
        <v>-1.5044488516053889E-2</v>
      </c>
      <c r="G35" s="138">
        <v>-7.3140318062883125E-3</v>
      </c>
    </row>
    <row r="36" spans="2:7" ht="20.149999999999999" customHeight="1">
      <c r="B36" s="139" t="s">
        <v>14</v>
      </c>
      <c r="C36" s="140" t="s">
        <v>101</v>
      </c>
      <c r="D36" s="26">
        <v>57.453392454967236</v>
      </c>
      <c r="E36" s="26">
        <v>66.552360691414208</v>
      </c>
      <c r="F36" s="137">
        <v>9.0989682364469715</v>
      </c>
      <c r="G36" s="138">
        <v>15.837129623944946</v>
      </c>
    </row>
    <row r="37" spans="2:7" ht="20.149999999999999" customHeight="1">
      <c r="B37" s="139" t="s">
        <v>14</v>
      </c>
      <c r="C37" s="140" t="s">
        <v>102</v>
      </c>
      <c r="D37" s="26">
        <v>77.915566121206083</v>
      </c>
      <c r="E37" s="26">
        <v>77.158430872475748</v>
      </c>
      <c r="F37" s="137">
        <v>-0.75713524873033577</v>
      </c>
      <c r="G37" s="138">
        <v>-0.97173810885558964</v>
      </c>
    </row>
    <row r="38" spans="2:7" ht="20.149999999999999" customHeight="1">
      <c r="B38" s="139" t="s">
        <v>14</v>
      </c>
      <c r="C38" s="140" t="s">
        <v>103</v>
      </c>
      <c r="D38" s="26">
        <v>52.36475836982612</v>
      </c>
      <c r="E38" s="26">
        <v>52.771595540637747</v>
      </c>
      <c r="F38" s="137">
        <v>0.4068371708116274</v>
      </c>
      <c r="G38" s="138">
        <v>0.77692933850346435</v>
      </c>
    </row>
    <row r="39" spans="2:7" ht="20.149999999999999" customHeight="1">
      <c r="B39" s="139" t="s">
        <v>14</v>
      </c>
      <c r="C39" s="140" t="s">
        <v>104</v>
      </c>
      <c r="D39" s="26">
        <v>134.43782538680631</v>
      </c>
      <c r="E39" s="26">
        <v>131.27487027536642</v>
      </c>
      <c r="F39" s="137">
        <v>-3.1629551114398851</v>
      </c>
      <c r="G39" s="138">
        <v>-2.3527270709261927</v>
      </c>
    </row>
    <row r="40" spans="2:7" ht="20.149999999999999" customHeight="1">
      <c r="B40" s="139" t="s">
        <v>14</v>
      </c>
      <c r="C40" s="140" t="s">
        <v>105</v>
      </c>
      <c r="D40" s="26" t="s">
        <v>106</v>
      </c>
      <c r="E40" s="26">
        <v>541</v>
      </c>
      <c r="F40" s="137" t="s">
        <v>106</v>
      </c>
      <c r="G40" s="138" t="s">
        <v>106</v>
      </c>
    </row>
    <row r="41" spans="2:7" ht="20.149999999999999" customHeight="1">
      <c r="B41" s="139" t="s">
        <v>14</v>
      </c>
      <c r="C41" s="140" t="s">
        <v>107</v>
      </c>
      <c r="D41" s="26">
        <v>258.5137892068534</v>
      </c>
      <c r="E41" s="26">
        <v>196.28241325299629</v>
      </c>
      <c r="F41" s="137">
        <v>-62.231375953857111</v>
      </c>
      <c r="G41" s="138">
        <v>-24.072749134500441</v>
      </c>
    </row>
    <row r="42" spans="2:7" ht="20.149999999999999" customHeight="1">
      <c r="B42" s="139" t="s">
        <v>14</v>
      </c>
      <c r="C42" s="140" t="s">
        <v>108</v>
      </c>
      <c r="D42" s="26">
        <v>217.42174785742608</v>
      </c>
      <c r="E42" s="26">
        <v>241.85038210852161</v>
      </c>
      <c r="F42" s="137">
        <v>24.428634251095531</v>
      </c>
      <c r="G42" s="138">
        <v>11.235598320695402</v>
      </c>
    </row>
    <row r="43" spans="2:7" ht="20.149999999999999" customHeight="1">
      <c r="B43" s="139" t="s">
        <v>14</v>
      </c>
      <c r="C43" s="140" t="s">
        <v>109</v>
      </c>
      <c r="D43" s="26">
        <v>24.122280149941837</v>
      </c>
      <c r="E43" s="26">
        <v>25.930210121899268</v>
      </c>
      <c r="F43" s="137">
        <v>1.8079299719574315</v>
      </c>
      <c r="G43" s="138">
        <v>7.4948552156740931</v>
      </c>
    </row>
    <row r="44" spans="2:7" ht="20.149999999999999" customHeight="1">
      <c r="B44" s="139" t="s">
        <v>14</v>
      </c>
      <c r="C44" s="140" t="s">
        <v>110</v>
      </c>
      <c r="D44" s="26">
        <v>71.931078719347354</v>
      </c>
      <c r="E44" s="125">
        <v>86.561197149320478</v>
      </c>
      <c r="F44" s="137">
        <v>14.630118429973123</v>
      </c>
      <c r="G44" s="138">
        <v>20.339078310024064</v>
      </c>
    </row>
    <row r="45" spans="2:7" ht="20.149999999999999" customHeight="1">
      <c r="B45" s="139" t="s">
        <v>14</v>
      </c>
      <c r="C45" s="140" t="s">
        <v>111</v>
      </c>
      <c r="D45" s="26">
        <v>122.75135534517796</v>
      </c>
      <c r="E45" s="26">
        <v>133.95838990315073</v>
      </c>
      <c r="F45" s="137">
        <v>11.207034557972776</v>
      </c>
      <c r="G45" s="138">
        <v>9.1298662458418391</v>
      </c>
    </row>
    <row r="46" spans="2:7" ht="20.149999999999999" customHeight="1">
      <c r="B46" s="139" t="s">
        <v>14</v>
      </c>
      <c r="C46" s="140" t="s">
        <v>112</v>
      </c>
      <c r="D46" s="26">
        <v>76.068210158510851</v>
      </c>
      <c r="E46" s="26">
        <v>72.996431811112018</v>
      </c>
      <c r="F46" s="137">
        <v>-3.0717783473988334</v>
      </c>
      <c r="G46" s="138">
        <v>-4.0381893316509831</v>
      </c>
    </row>
    <row r="47" spans="2:7" ht="20.149999999999999" customHeight="1">
      <c r="B47" s="139" t="s">
        <v>14</v>
      </c>
      <c r="C47" s="140" t="s">
        <v>113</v>
      </c>
      <c r="D47" s="26">
        <v>139.59495858914471</v>
      </c>
      <c r="E47" s="26">
        <v>142.98475876949558</v>
      </c>
      <c r="F47" s="137">
        <v>3.3898001803508748</v>
      </c>
      <c r="G47" s="138">
        <v>2.4283113191270189</v>
      </c>
    </row>
    <row r="48" spans="2:7" ht="20.149999999999999" customHeight="1">
      <c r="B48" s="139" t="s">
        <v>14</v>
      </c>
      <c r="C48" s="140" t="s">
        <v>114</v>
      </c>
      <c r="D48" s="26">
        <v>102.97062476790265</v>
      </c>
      <c r="E48" s="26">
        <v>113.17818991030235</v>
      </c>
      <c r="F48" s="137">
        <v>10.207565142399702</v>
      </c>
      <c r="G48" s="138">
        <v>9.9130845961240937</v>
      </c>
    </row>
    <row r="49" spans="2:10" ht="20.149999999999999" customHeight="1">
      <c r="B49" s="139" t="s">
        <v>14</v>
      </c>
      <c r="C49" s="140" t="s">
        <v>115</v>
      </c>
      <c r="D49" s="26">
        <v>95.962040198517727</v>
      </c>
      <c r="E49" s="26">
        <v>98.837949045122983</v>
      </c>
      <c r="F49" s="137">
        <v>2.875908846605256</v>
      </c>
      <c r="G49" s="138">
        <v>2.9969234091478683</v>
      </c>
    </row>
    <row r="50" spans="2:10" ht="20.149999999999999" customHeight="1">
      <c r="B50" s="139" t="s">
        <v>14</v>
      </c>
      <c r="C50" s="140" t="s">
        <v>116</v>
      </c>
      <c r="D50" s="26">
        <v>27.550683901414477</v>
      </c>
      <c r="E50" s="26">
        <v>27.714664661420187</v>
      </c>
      <c r="F50" s="137">
        <v>0.16398076000571038</v>
      </c>
      <c r="G50" s="138">
        <v>0.59519669490778426</v>
      </c>
    </row>
    <row r="51" spans="2:10" ht="20.149999999999999" customHeight="1" thickBot="1">
      <c r="B51" s="141" t="s">
        <v>14</v>
      </c>
      <c r="C51" s="142" t="s">
        <v>117</v>
      </c>
      <c r="D51" s="143">
        <v>41.591618284625071</v>
      </c>
      <c r="E51" s="143">
        <v>38.406438168805302</v>
      </c>
      <c r="F51" s="144">
        <v>-3.1851801158197688</v>
      </c>
      <c r="G51" s="145">
        <v>-7.6582259772210222</v>
      </c>
    </row>
    <row r="52" spans="2:10" ht="15" customHeight="1">
      <c r="B52" s="106" t="s">
        <v>118</v>
      </c>
      <c r="C52" s="86"/>
      <c r="F52" s="86"/>
      <c r="G52" s="86"/>
      <c r="J52" s="146"/>
    </row>
    <row r="53" spans="2:10" ht="48.75" customHeight="1">
      <c r="B53" s="680" t="s">
        <v>119</v>
      </c>
      <c r="C53" s="680"/>
      <c r="D53" s="680"/>
      <c r="E53" s="680"/>
      <c r="F53" s="680"/>
      <c r="G53" s="680"/>
    </row>
    <row r="54" spans="2:10">
      <c r="B54" s="109" t="s">
        <v>120</v>
      </c>
      <c r="D54" s="147"/>
      <c r="E54" s="147"/>
      <c r="F54" s="86"/>
      <c r="G54" s="86"/>
    </row>
    <row r="55" spans="2:10" ht="15.75" customHeight="1">
      <c r="B55" s="681"/>
      <c r="C55" s="681"/>
      <c r="D55" s="681"/>
      <c r="E55" s="681"/>
      <c r="F55" s="681"/>
      <c r="G55" s="681"/>
    </row>
    <row r="56" spans="2:10" ht="16.5" customHeight="1">
      <c r="B56" s="681"/>
      <c r="C56" s="681"/>
      <c r="D56" s="681"/>
      <c r="E56" s="681"/>
      <c r="F56" s="681"/>
      <c r="G56" s="681"/>
    </row>
    <row r="57" spans="2:10" s="86" customFormat="1" ht="20.5" customHeight="1">
      <c r="B57" s="148"/>
      <c r="C57" s="148"/>
      <c r="D57" s="148"/>
      <c r="E57" s="148"/>
      <c r="F57" s="148"/>
      <c r="G57" s="148"/>
    </row>
    <row r="58" spans="2:10" ht="56" customHeight="1">
      <c r="B58" s="682" t="s">
        <v>67</v>
      </c>
      <c r="C58" s="682"/>
      <c r="D58" s="682"/>
      <c r="E58" s="682"/>
      <c r="F58" s="682"/>
      <c r="G58" s="682"/>
    </row>
    <row r="59" spans="2:10" ht="51" customHeight="1">
      <c r="I59" s="80"/>
    </row>
    <row r="60" spans="2:10" ht="18.75" customHeight="1">
      <c r="I60" s="80"/>
    </row>
    <row r="61" spans="2:10" ht="18.75" customHeight="1">
      <c r="I61" s="80"/>
    </row>
    <row r="62" spans="2:10" ht="13.5" customHeight="1">
      <c r="I62" s="80"/>
    </row>
    <row r="63" spans="2:10" ht="15" customHeight="1">
      <c r="B63" s="149"/>
      <c r="C63" s="150"/>
      <c r="D63" s="151"/>
      <c r="E63" s="151"/>
      <c r="F63" s="149"/>
      <c r="G63" s="149"/>
    </row>
    <row r="64" spans="2:10" ht="11.25" customHeight="1">
      <c r="B64" s="149"/>
      <c r="C64" s="150"/>
      <c r="D64" s="149"/>
      <c r="E64" s="149"/>
      <c r="F64" s="149"/>
      <c r="G64" s="149"/>
    </row>
    <row r="65" spans="2:11" ht="13.5" customHeight="1">
      <c r="B65" s="149"/>
      <c r="C65" s="149"/>
      <c r="D65" s="152"/>
      <c r="E65" s="152"/>
      <c r="F65" s="153"/>
      <c r="G65" s="153"/>
    </row>
    <row r="66" spans="2:11" ht="6" customHeight="1">
      <c r="B66" s="154"/>
      <c r="C66" s="155"/>
      <c r="D66" s="156"/>
      <c r="E66" s="156"/>
      <c r="F66" s="157"/>
      <c r="G66" s="156"/>
    </row>
    <row r="67" spans="2:11" ht="15" customHeight="1">
      <c r="B67" s="154"/>
      <c r="C67" s="155"/>
      <c r="D67" s="156"/>
      <c r="E67" s="156"/>
      <c r="F67" s="157"/>
      <c r="G67" s="156"/>
    </row>
    <row r="68" spans="2:11" ht="15" customHeight="1">
      <c r="B68" s="154"/>
      <c r="C68" s="155"/>
      <c r="D68" s="156"/>
      <c r="E68" s="156"/>
      <c r="F68" s="157"/>
      <c r="G68" s="156"/>
    </row>
    <row r="69" spans="2:11" ht="15" customHeight="1">
      <c r="B69" s="154"/>
      <c r="C69" s="155"/>
      <c r="D69" s="156"/>
      <c r="E69" s="156"/>
      <c r="F69" s="157"/>
      <c r="G69" s="158"/>
    </row>
    <row r="70" spans="2:11" ht="15" customHeight="1">
      <c r="B70" s="154"/>
      <c r="C70" s="159"/>
      <c r="D70" s="156"/>
      <c r="E70" s="156"/>
      <c r="F70" s="157"/>
      <c r="I70" s="160"/>
    </row>
    <row r="71" spans="2:11" ht="15" customHeight="1">
      <c r="B71" s="154"/>
      <c r="C71" s="159"/>
      <c r="D71" s="156"/>
      <c r="E71" s="156"/>
      <c r="F71" s="157"/>
      <c r="G71" s="158"/>
      <c r="H71" s="160"/>
      <c r="I71" s="160"/>
    </row>
    <row r="72" spans="2:11" ht="15" customHeight="1">
      <c r="B72" s="161"/>
      <c r="C72" s="159"/>
      <c r="D72" s="156"/>
      <c r="E72" s="156"/>
      <c r="F72" s="157"/>
      <c r="G72" s="158"/>
      <c r="H72" s="160"/>
      <c r="I72" s="160"/>
    </row>
    <row r="73" spans="2:11" ht="15" customHeight="1">
      <c r="B73" s="154"/>
      <c r="C73" s="159"/>
      <c r="D73" s="156"/>
      <c r="E73" s="156"/>
      <c r="F73" s="157"/>
      <c r="G73" s="162" t="s">
        <v>68</v>
      </c>
      <c r="H73" s="160"/>
      <c r="K73" s="162"/>
    </row>
    <row r="74" spans="2:11" ht="15" customHeight="1">
      <c r="B74" s="154"/>
      <c r="C74" s="159"/>
      <c r="D74" s="156"/>
      <c r="E74" s="156"/>
      <c r="F74" s="157"/>
      <c r="H74" s="160"/>
    </row>
    <row r="75" spans="2:11" ht="15" customHeight="1">
      <c r="B75" s="163"/>
      <c r="C75" s="164"/>
      <c r="D75" s="165"/>
      <c r="E75" s="165"/>
      <c r="F75" s="157"/>
    </row>
    <row r="76" spans="2:11" ht="15" customHeight="1">
      <c r="B76" s="163"/>
      <c r="C76" s="164"/>
      <c r="D76" s="156"/>
      <c r="E76" s="156"/>
      <c r="F76" s="157"/>
    </row>
    <row r="77" spans="2:11" ht="15" customHeight="1">
      <c r="B77" s="163"/>
      <c r="C77" s="164"/>
      <c r="D77" s="165"/>
      <c r="E77" s="165"/>
      <c r="F77" s="165"/>
    </row>
    <row r="78" spans="2:11" ht="12" customHeight="1">
      <c r="B78" s="164"/>
      <c r="C78" s="86"/>
      <c r="D78" s="86"/>
      <c r="E78" s="86"/>
      <c r="F78" s="86"/>
      <c r="G78" s="162"/>
    </row>
    <row r="79" spans="2:11" ht="15" customHeight="1">
      <c r="B79" s="166"/>
      <c r="C79" s="86"/>
      <c r="D79" s="86"/>
      <c r="E79" s="86"/>
      <c r="F79" s="86"/>
    </row>
    <row r="80" spans="2:11" ht="13.5" customHeight="1">
      <c r="B80" s="166"/>
      <c r="H80" s="97"/>
    </row>
    <row r="81" spans="2:2">
      <c r="B81" s="167"/>
    </row>
    <row r="82" spans="2:2" ht="11.25" customHeight="1"/>
  </sheetData>
  <mergeCells count="4">
    <mergeCell ref="B3:G3"/>
    <mergeCell ref="B53:G53"/>
    <mergeCell ref="B55:G56"/>
    <mergeCell ref="B58:G58"/>
  </mergeCells>
  <conditionalFormatting sqref="F8:G26 F28:G51">
    <cfRule type="cellIs" dxfId="29" priority="1" stopIfTrue="1" operator="lessThan">
      <formula>0</formula>
    </cfRule>
    <cfRule type="cellIs" dxfId="28" priority="2" stopIfTrue="1" operator="greaterThanOrEqual">
      <formula>0</formula>
    </cfRule>
  </conditionalFormatting>
  <conditionalFormatting sqref="G7">
    <cfRule type="cellIs" dxfId="27" priority="5" stopIfTrue="1" operator="lessThan">
      <formula>0</formula>
    </cfRule>
    <cfRule type="cellIs" dxfId="26" priority="6" stopIfTrue="1" operator="greaterThanOrEqual">
      <formula>0</formula>
    </cfRule>
  </conditionalFormatting>
  <conditionalFormatting sqref="G27">
    <cfRule type="cellIs" dxfId="25" priority="3" stopIfTrue="1" operator="lessThan">
      <formula>0</formula>
    </cfRule>
    <cfRule type="cellIs" dxfId="24" priority="4" stopIfTrue="1" operator="greaterThanOrEqual">
      <formula>0</formula>
    </cfRule>
  </conditionalFormatting>
  <conditionalFormatting sqref="G66:G69 G71:G72">
    <cfRule type="cellIs" dxfId="23" priority="7" stopIfTrue="1" operator="lessThan">
      <formula>0</formula>
    </cfRule>
    <cfRule type="cellIs" dxfId="22" priority="8" stopIfTrue="1" operator="greaterThanOrEqual">
      <formula>0</formula>
    </cfRule>
  </conditionalFormatting>
  <conditionalFormatting sqref="K73">
    <cfRule type="cellIs" dxfId="21" priority="9" stopIfTrue="1" operator="lessThan">
      <formula>0</formula>
    </cfRule>
    <cfRule type="cellIs" dxfId="20" priority="10" stopIfTrue="1" operator="greaterThanOrEqual">
      <formula>0</formula>
    </cfRule>
  </conditionalFormatting>
  <printOptions horizontalCentered="1" verticalCentered="1"/>
  <pageMargins left="0.7" right="0.7" top="0.75" bottom="0.75" header="0.3" footer="0.3"/>
  <pageSetup paperSize="9" scale="46" orientation="portrait" r:id="rId1"/>
  <headerFooter scaleWithDoc="0" alignWithMargins="0">
    <oddHeader>&amp;R&amp;"Verdana,Normal"&amp;8 5</oddHeader>
    <oddFooter>&amp;R&amp;"Verdana,Cursiva"&amp;8Subdirección General de Análisis, Coordinación y Estadística</oddFooter>
  </headerFooter>
  <ignoredErrors>
    <ignoredError sqref="B8:B51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17F68-71EC-42A0-B8E0-5CDCEA795B2F}">
  <sheetPr>
    <pageSetUpPr fitToPage="1"/>
  </sheetPr>
  <dimension ref="A1:K81"/>
  <sheetViews>
    <sheetView showGridLines="0" zoomScaleNormal="100" zoomScaleSheetLayoutView="80" zoomScalePageLayoutView="75" workbookViewId="0"/>
  </sheetViews>
  <sheetFormatPr baseColWidth="10" defaultColWidth="11.6328125" defaultRowHeight="10"/>
  <cols>
    <col min="1" max="1" width="1.90625" style="110" customWidth="1"/>
    <col min="2" max="2" width="7.36328125" style="110" customWidth="1"/>
    <col min="3" max="3" width="81.81640625" style="110" customWidth="1"/>
    <col min="4" max="7" width="23.81640625" style="110" customWidth="1"/>
    <col min="8" max="8" width="15.81640625" style="110" customWidth="1"/>
    <col min="9" max="16384" width="11.6328125" style="110"/>
  </cols>
  <sheetData>
    <row r="1" spans="1:8" ht="10.5" customHeight="1">
      <c r="G1" s="3"/>
    </row>
    <row r="2" spans="1:8" ht="15.65" customHeight="1">
      <c r="B2" s="675" t="s">
        <v>121</v>
      </c>
      <c r="C2" s="675"/>
      <c r="D2" s="675"/>
      <c r="E2" s="675"/>
      <c r="F2" s="675"/>
      <c r="G2" s="675"/>
    </row>
    <row r="3" spans="1:8" ht="15.65" customHeight="1" thickBot="1">
      <c r="B3" s="4"/>
      <c r="C3" s="4"/>
      <c r="D3" s="4"/>
      <c r="E3" s="4"/>
      <c r="F3" s="4"/>
      <c r="G3" s="4"/>
    </row>
    <row r="4" spans="1:8" ht="16.5" customHeight="1" thickBot="1">
      <c r="A4" s="168"/>
      <c r="B4" s="676" t="s">
        <v>122</v>
      </c>
      <c r="C4" s="677"/>
      <c r="D4" s="677"/>
      <c r="E4" s="677"/>
      <c r="F4" s="677"/>
      <c r="G4" s="678"/>
    </row>
    <row r="5" spans="1:8" ht="20.149999999999999" customHeight="1">
      <c r="B5" s="169"/>
      <c r="C5" s="112" t="s">
        <v>123</v>
      </c>
      <c r="D5" s="170" t="s">
        <v>4</v>
      </c>
      <c r="E5" s="170" t="s">
        <v>5</v>
      </c>
      <c r="F5" s="8" t="s">
        <v>6</v>
      </c>
      <c r="G5" s="9" t="s">
        <v>6</v>
      </c>
    </row>
    <row r="6" spans="1:8" ht="20.149999999999999" customHeight="1">
      <c r="B6" s="171"/>
      <c r="C6" s="114" t="s">
        <v>7</v>
      </c>
      <c r="D6" s="12" t="s">
        <v>70</v>
      </c>
      <c r="E6" s="12" t="s">
        <v>71</v>
      </c>
      <c r="F6" s="13" t="s">
        <v>10</v>
      </c>
      <c r="G6" s="14" t="s">
        <v>10</v>
      </c>
    </row>
    <row r="7" spans="1:8" ht="20.149999999999999" customHeight="1" thickBot="1">
      <c r="B7" s="172"/>
      <c r="C7" s="117"/>
      <c r="D7" s="173">
        <v>2026</v>
      </c>
      <c r="E7" s="173">
        <v>2026</v>
      </c>
      <c r="F7" s="118" t="s">
        <v>11</v>
      </c>
      <c r="G7" s="119" t="s">
        <v>12</v>
      </c>
    </row>
    <row r="8" spans="1:8" ht="20.149999999999999" customHeight="1" thickBot="1">
      <c r="B8" s="174"/>
      <c r="C8" s="175" t="s">
        <v>124</v>
      </c>
      <c r="D8" s="176"/>
      <c r="E8" s="176"/>
      <c r="F8" s="177"/>
      <c r="G8" s="178"/>
    </row>
    <row r="9" spans="1:8" ht="20.149999999999999" customHeight="1">
      <c r="B9" s="179" t="s">
        <v>14</v>
      </c>
      <c r="C9" s="180" t="s">
        <v>125</v>
      </c>
      <c r="D9" s="181">
        <v>721.6</v>
      </c>
      <c r="E9" s="181">
        <v>721.63</v>
      </c>
      <c r="F9" s="182">
        <v>2.9999999999972715E-2</v>
      </c>
      <c r="G9" s="183">
        <v>4.1574279379119616E-3</v>
      </c>
    </row>
    <row r="10" spans="1:8" ht="20.149999999999999" customHeight="1">
      <c r="B10" s="23" t="s">
        <v>14</v>
      </c>
      <c r="C10" s="24" t="s">
        <v>126</v>
      </c>
      <c r="D10" s="184">
        <v>757.25</v>
      </c>
      <c r="E10" s="184">
        <v>752.99</v>
      </c>
      <c r="F10" s="185">
        <v>-4.2599999999999909</v>
      </c>
      <c r="G10" s="27">
        <v>-0.56256190161769837</v>
      </c>
      <c r="H10" s="186"/>
    </row>
    <row r="11" spans="1:8" ht="20.149999999999999" customHeight="1">
      <c r="B11" s="23" t="s">
        <v>14</v>
      </c>
      <c r="C11" s="24" t="s">
        <v>127</v>
      </c>
      <c r="D11" s="184">
        <v>744.78</v>
      </c>
      <c r="E11" s="184">
        <v>741.57</v>
      </c>
      <c r="F11" s="185">
        <v>-3.2099999999999227</v>
      </c>
      <c r="G11" s="27">
        <v>-0.4309997583178955</v>
      </c>
      <c r="H11" s="186"/>
    </row>
    <row r="12" spans="1:8" ht="20.149999999999999" customHeight="1" thickBot="1">
      <c r="B12" s="23" t="s">
        <v>14</v>
      </c>
      <c r="C12" s="24" t="s">
        <v>128</v>
      </c>
      <c r="D12" s="184">
        <v>386.18</v>
      </c>
      <c r="E12" s="184">
        <v>386.03</v>
      </c>
      <c r="F12" s="187">
        <v>-0.15000000000003411</v>
      </c>
      <c r="G12" s="188">
        <v>-3.8841990781506297E-2</v>
      </c>
    </row>
    <row r="13" spans="1:8" ht="20.149999999999999" customHeight="1" thickBot="1">
      <c r="B13" s="189"/>
      <c r="C13" s="190" t="s">
        <v>129</v>
      </c>
      <c r="D13" s="191"/>
      <c r="E13" s="191"/>
      <c r="F13" s="192"/>
      <c r="G13" s="193"/>
    </row>
    <row r="14" spans="1:8" ht="20.149999999999999" customHeight="1">
      <c r="B14" s="23" t="s">
        <v>14</v>
      </c>
      <c r="C14" s="65" t="s">
        <v>130</v>
      </c>
      <c r="D14" s="47">
        <v>1130.5</v>
      </c>
      <c r="E14" s="47">
        <v>1204.4000000000001</v>
      </c>
      <c r="F14" s="194">
        <v>73.900000000000091</v>
      </c>
      <c r="G14" s="195">
        <v>6.5369305616983695</v>
      </c>
      <c r="H14" s="196"/>
    </row>
    <row r="15" spans="1:8" ht="20.149999999999999" customHeight="1" thickBot="1">
      <c r="B15" s="23" t="s">
        <v>14</v>
      </c>
      <c r="C15" s="65" t="s">
        <v>131</v>
      </c>
      <c r="D15" s="25">
        <v>1033.8</v>
      </c>
      <c r="E15" s="25">
        <v>1101.5999999999999</v>
      </c>
      <c r="F15" s="26">
        <v>67.799999999999955</v>
      </c>
      <c r="G15" s="188">
        <v>6.5583284968078885</v>
      </c>
      <c r="H15" s="197"/>
    </row>
    <row r="16" spans="1:8" ht="20.149999999999999" customHeight="1" thickBot="1">
      <c r="B16" s="189"/>
      <c r="C16" s="198" t="s">
        <v>132</v>
      </c>
      <c r="D16" s="191"/>
      <c r="E16" s="191"/>
      <c r="F16" s="191"/>
      <c r="G16" s="193"/>
    </row>
    <row r="17" spans="2:9" ht="20.149999999999999" customHeight="1">
      <c r="B17" s="32" t="s">
        <v>14</v>
      </c>
      <c r="C17" s="65" t="s">
        <v>133</v>
      </c>
      <c r="D17" s="34">
        <v>134.79</v>
      </c>
      <c r="E17" s="34">
        <v>134.81</v>
      </c>
      <c r="F17" s="136">
        <v>2.0000000000010232E-2</v>
      </c>
      <c r="G17" s="188">
        <v>1.483789598636065E-2</v>
      </c>
    </row>
    <row r="18" spans="2:9" ht="20.149999999999999" customHeight="1">
      <c r="B18" s="23" t="s">
        <v>14</v>
      </c>
      <c r="C18" s="65" t="s">
        <v>134</v>
      </c>
      <c r="D18" s="34">
        <v>132.5</v>
      </c>
      <c r="E18" s="34">
        <v>134.07</v>
      </c>
      <c r="F18" s="26">
        <v>1.5699999999999932</v>
      </c>
      <c r="G18" s="27">
        <v>1.1849056603773533</v>
      </c>
      <c r="H18" s="74"/>
    </row>
    <row r="19" spans="2:9" ht="20.149999999999999" customHeight="1">
      <c r="B19" s="23" t="s">
        <v>14</v>
      </c>
      <c r="C19" s="65" t="s">
        <v>135</v>
      </c>
      <c r="D19" s="34">
        <v>139.05000000000001</v>
      </c>
      <c r="E19" s="34">
        <v>139.49</v>
      </c>
      <c r="F19" s="26">
        <v>0.43999999999999773</v>
      </c>
      <c r="G19" s="27">
        <v>0.31643293779215753</v>
      </c>
    </row>
    <row r="20" spans="2:9" ht="20.149999999999999" customHeight="1">
      <c r="B20" s="23" t="s">
        <v>14</v>
      </c>
      <c r="C20" s="65" t="s">
        <v>136</v>
      </c>
      <c r="D20" s="34">
        <v>144.02000000000001</v>
      </c>
      <c r="E20" s="34">
        <v>141.18</v>
      </c>
      <c r="F20" s="199">
        <v>-2.8400000000000034</v>
      </c>
      <c r="G20" s="27">
        <v>-1.9719483405082627</v>
      </c>
      <c r="H20" s="200"/>
      <c r="I20" s="196"/>
    </row>
    <row r="21" spans="2:9" ht="20.149999999999999" customHeight="1" thickBot="1">
      <c r="B21" s="23" t="s">
        <v>14</v>
      </c>
      <c r="C21" s="201" t="s">
        <v>137</v>
      </c>
      <c r="D21" s="34">
        <v>32.72</v>
      </c>
      <c r="E21" s="34">
        <v>35.94</v>
      </c>
      <c r="F21" s="143">
        <v>3.2199999999999989</v>
      </c>
      <c r="G21" s="27">
        <v>9.8410757946210339</v>
      </c>
      <c r="H21" s="200"/>
      <c r="I21" s="197"/>
    </row>
    <row r="22" spans="2:9" ht="20.149999999999999" customHeight="1" thickBot="1">
      <c r="B22" s="189"/>
      <c r="C22" s="198" t="s">
        <v>138</v>
      </c>
      <c r="D22" s="191"/>
      <c r="E22" s="191"/>
      <c r="F22" s="191"/>
      <c r="G22" s="202"/>
    </row>
    <row r="23" spans="2:9" ht="20.149999999999999" customHeight="1">
      <c r="B23" s="203" t="s">
        <v>139</v>
      </c>
      <c r="C23" s="204" t="s">
        <v>140</v>
      </c>
      <c r="D23" s="26">
        <v>224.93</v>
      </c>
      <c r="E23" s="26">
        <v>224.66</v>
      </c>
      <c r="F23" s="185">
        <v>-0.27000000000001023</v>
      </c>
      <c r="G23" s="205">
        <v>-0.12003734495176843</v>
      </c>
    </row>
    <row r="24" spans="2:9" ht="20.149999999999999" customHeight="1">
      <c r="B24" s="203" t="s">
        <v>139</v>
      </c>
      <c r="C24" s="204" t="s">
        <v>141</v>
      </c>
      <c r="D24" s="26">
        <v>211.74</v>
      </c>
      <c r="E24" s="26">
        <v>210.3</v>
      </c>
      <c r="F24" s="185">
        <v>-1.4399999999999977</v>
      </c>
      <c r="G24" s="205">
        <v>-0.68007934258997693</v>
      </c>
    </row>
    <row r="25" spans="2:9" ht="20.149999999999999" customHeight="1">
      <c r="B25" s="203" t="s">
        <v>139</v>
      </c>
      <c r="C25" s="204" t="s">
        <v>142</v>
      </c>
      <c r="D25" s="26">
        <v>225.62</v>
      </c>
      <c r="E25" s="26">
        <v>225.41</v>
      </c>
      <c r="F25" s="185">
        <v>-0.21000000000000796</v>
      </c>
      <c r="G25" s="205">
        <v>-9.3076854888749949E-2</v>
      </c>
    </row>
    <row r="26" spans="2:9" ht="20.149999999999999" customHeight="1">
      <c r="B26" s="203" t="s">
        <v>139</v>
      </c>
      <c r="C26" s="204" t="s">
        <v>143</v>
      </c>
      <c r="D26" s="26">
        <v>221.36</v>
      </c>
      <c r="E26" s="26">
        <v>221.54</v>
      </c>
      <c r="F26" s="185">
        <v>0.1799999999999784</v>
      </c>
      <c r="G26" s="205">
        <v>8.1315504156123097E-2</v>
      </c>
    </row>
    <row r="27" spans="2:9" ht="20.149999999999999" customHeight="1" thickBot="1">
      <c r="B27" s="203" t="s">
        <v>139</v>
      </c>
      <c r="C27" s="204" t="s">
        <v>144</v>
      </c>
      <c r="D27" s="26">
        <v>499.32</v>
      </c>
      <c r="E27" s="26">
        <v>499.88</v>
      </c>
      <c r="F27" s="185">
        <v>0.56000000000000227</v>
      </c>
      <c r="G27" s="205">
        <v>0.11215252743731696</v>
      </c>
    </row>
    <row r="28" spans="2:9" ht="20.149999999999999" customHeight="1" thickBot="1">
      <c r="B28" s="189"/>
      <c r="C28" s="206" t="s">
        <v>145</v>
      </c>
      <c r="D28" s="191"/>
      <c r="E28" s="191"/>
      <c r="F28" s="191"/>
      <c r="G28" s="202"/>
    </row>
    <row r="29" spans="2:9" ht="20.149999999999999" customHeight="1">
      <c r="B29" s="203" t="s">
        <v>24</v>
      </c>
      <c r="C29" s="204" t="s">
        <v>146</v>
      </c>
      <c r="D29" s="26">
        <v>302.02</v>
      </c>
      <c r="E29" s="26">
        <v>279.45</v>
      </c>
      <c r="F29" s="182">
        <v>-22.569999999999993</v>
      </c>
      <c r="G29" s="205">
        <v>-7.4730150321170754</v>
      </c>
    </row>
    <row r="30" spans="2:9" ht="20.149999999999999" customHeight="1">
      <c r="B30" s="203" t="s">
        <v>24</v>
      </c>
      <c r="C30" s="204" t="s">
        <v>147</v>
      </c>
      <c r="D30" s="26">
        <v>2.36</v>
      </c>
      <c r="E30" s="26">
        <v>2.19</v>
      </c>
      <c r="F30" s="185">
        <v>-0.16999999999999993</v>
      </c>
      <c r="G30" s="205">
        <v>-7.2033898305084705</v>
      </c>
    </row>
    <row r="31" spans="2:9" ht="20.149999999999999" customHeight="1">
      <c r="B31" s="203" t="s">
        <v>24</v>
      </c>
      <c r="C31" s="204" t="s">
        <v>148</v>
      </c>
      <c r="D31" s="26">
        <v>2.21</v>
      </c>
      <c r="E31" s="26">
        <v>2.04</v>
      </c>
      <c r="F31" s="185">
        <v>-0.16999999999999993</v>
      </c>
      <c r="G31" s="205">
        <v>-7.6923076923076934</v>
      </c>
    </row>
    <row r="32" spans="2:9" ht="20.149999999999999" customHeight="1">
      <c r="B32" s="203" t="s">
        <v>24</v>
      </c>
      <c r="C32" s="204" t="s">
        <v>149</v>
      </c>
      <c r="D32" s="26">
        <v>313.17</v>
      </c>
      <c r="E32" s="26">
        <v>274.66000000000003</v>
      </c>
      <c r="F32" s="26">
        <v>-38.509999999999991</v>
      </c>
      <c r="G32" s="205">
        <v>-12.296835584506809</v>
      </c>
    </row>
    <row r="33" spans="2:11" ht="20.149999999999999" customHeight="1">
      <c r="B33" s="203" t="s">
        <v>24</v>
      </c>
      <c r="C33" s="204" t="s">
        <v>150</v>
      </c>
      <c r="D33" s="26">
        <v>2.4500000000000002</v>
      </c>
      <c r="E33" s="26">
        <v>2.16</v>
      </c>
      <c r="F33" s="185">
        <v>-0.29000000000000004</v>
      </c>
      <c r="G33" s="205">
        <v>-11.83673469387756</v>
      </c>
    </row>
    <row r="34" spans="2:11" ht="20.149999999999999" customHeight="1">
      <c r="B34" s="203" t="s">
        <v>24</v>
      </c>
      <c r="C34" s="204" t="s">
        <v>151</v>
      </c>
      <c r="D34" s="26">
        <v>2.29</v>
      </c>
      <c r="E34" s="26">
        <v>2</v>
      </c>
      <c r="F34" s="185">
        <v>-0.29000000000000004</v>
      </c>
      <c r="G34" s="205">
        <v>-12.663755458515283</v>
      </c>
    </row>
    <row r="35" spans="2:11" ht="20.149999999999999" customHeight="1">
      <c r="B35" s="203" t="s">
        <v>24</v>
      </c>
      <c r="C35" s="204" t="s">
        <v>152</v>
      </c>
      <c r="D35" s="26">
        <v>311.20999999999998</v>
      </c>
      <c r="E35" s="26">
        <v>299.68</v>
      </c>
      <c r="F35" s="26">
        <v>-11.529999999999973</v>
      </c>
      <c r="G35" s="205">
        <v>-3.7048938016130535</v>
      </c>
    </row>
    <row r="36" spans="2:11" ht="20.149999999999999" customHeight="1">
      <c r="B36" s="203" t="s">
        <v>24</v>
      </c>
      <c r="C36" s="204" t="s">
        <v>153</v>
      </c>
      <c r="D36" s="26">
        <v>2.35</v>
      </c>
      <c r="E36" s="26">
        <v>2.27</v>
      </c>
      <c r="F36" s="185">
        <v>-8.0000000000000071E-2</v>
      </c>
      <c r="G36" s="205">
        <v>-3.4042553191489446</v>
      </c>
    </row>
    <row r="37" spans="2:11" ht="20.149999999999999" customHeight="1">
      <c r="B37" s="203" t="s">
        <v>24</v>
      </c>
      <c r="C37" s="204" t="s">
        <v>154</v>
      </c>
      <c r="D37" s="26">
        <v>421.21</v>
      </c>
      <c r="E37" s="26">
        <v>403.73</v>
      </c>
      <c r="F37" s="185">
        <v>-17.479999999999961</v>
      </c>
      <c r="G37" s="205">
        <v>-4.1499489565774752</v>
      </c>
    </row>
    <row r="38" spans="2:11" ht="20.149999999999999" customHeight="1">
      <c r="B38" s="203" t="s">
        <v>24</v>
      </c>
      <c r="C38" s="207" t="s">
        <v>155</v>
      </c>
      <c r="D38" s="26">
        <v>3.18</v>
      </c>
      <c r="E38" s="26">
        <v>3.1</v>
      </c>
      <c r="F38" s="185">
        <v>-8.0000000000000071E-2</v>
      </c>
      <c r="G38" s="205">
        <v>-2.5157232704402617</v>
      </c>
    </row>
    <row r="39" spans="2:11" ht="20.149999999999999" customHeight="1" thickBot="1">
      <c r="B39" s="203" t="s">
        <v>24</v>
      </c>
      <c r="C39" s="208" t="s">
        <v>156</v>
      </c>
      <c r="D39" s="26">
        <v>3.19</v>
      </c>
      <c r="E39" s="26">
        <v>3</v>
      </c>
      <c r="F39" s="185">
        <v>-0.18999999999999995</v>
      </c>
      <c r="G39" s="205">
        <v>-5.9561128526645746</v>
      </c>
    </row>
    <row r="40" spans="2:11" ht="20.149999999999999" customHeight="1" thickBot="1">
      <c r="B40" s="189"/>
      <c r="C40" s="198" t="s">
        <v>157</v>
      </c>
      <c r="D40" s="191"/>
      <c r="E40" s="191"/>
      <c r="F40" s="191"/>
      <c r="G40" s="202"/>
      <c r="K40" s="209"/>
    </row>
    <row r="41" spans="2:11" ht="20.149999999999999" customHeight="1" thickBot="1">
      <c r="B41" s="139" t="s">
        <v>28</v>
      </c>
      <c r="C41" s="208" t="s">
        <v>158</v>
      </c>
      <c r="D41" s="26">
        <v>263.99</v>
      </c>
      <c r="E41" s="26">
        <v>256.72000000000003</v>
      </c>
      <c r="F41" s="210">
        <v>-7.2699999999999818</v>
      </c>
      <c r="G41" s="205">
        <v>-2.7538921928860844</v>
      </c>
    </row>
    <row r="42" spans="2:11" ht="20.149999999999999" customHeight="1" thickBot="1">
      <c r="B42" s="211"/>
      <c r="C42" s="198" t="s">
        <v>159</v>
      </c>
      <c r="D42" s="191"/>
      <c r="E42" s="191"/>
      <c r="F42" s="191"/>
      <c r="G42" s="202"/>
      <c r="K42" s="212"/>
    </row>
    <row r="43" spans="2:11" ht="20.149999999999999" customHeight="1">
      <c r="B43" s="213" t="s">
        <v>49</v>
      </c>
      <c r="C43" s="214" t="s">
        <v>160</v>
      </c>
      <c r="D43" s="215">
        <v>90.43</v>
      </c>
      <c r="E43" s="215">
        <v>98.32</v>
      </c>
      <c r="F43" s="215">
        <v>7.8899999999999864</v>
      </c>
      <c r="G43" s="216">
        <v>8.724980648015034</v>
      </c>
    </row>
    <row r="44" spans="2:11" ht="20.149999999999999" customHeight="1">
      <c r="B44" s="217" t="s">
        <v>49</v>
      </c>
      <c r="C44" s="218" t="s">
        <v>161</v>
      </c>
      <c r="D44" s="219">
        <v>492</v>
      </c>
      <c r="E44" s="219">
        <v>530.24</v>
      </c>
      <c r="F44" s="185">
        <v>38.240000000000009</v>
      </c>
      <c r="G44" s="205">
        <v>7.7723577235772296</v>
      </c>
    </row>
    <row r="45" spans="2:11" ht="20.149999999999999" customHeight="1">
      <c r="B45" s="217" t="s">
        <v>49</v>
      </c>
      <c r="C45" s="218" t="s">
        <v>162</v>
      </c>
      <c r="D45" s="219">
        <v>115.66</v>
      </c>
      <c r="E45" s="219">
        <v>113.23</v>
      </c>
      <c r="F45" s="220">
        <v>-2.4299999999999926</v>
      </c>
      <c r="G45" s="221">
        <v>-2.1009856475877484</v>
      </c>
    </row>
    <row r="46" spans="2:11" ht="20.149999999999999" customHeight="1" thickBot="1">
      <c r="B46" s="141" t="s">
        <v>45</v>
      </c>
      <c r="C46" s="222" t="s">
        <v>163</v>
      </c>
      <c r="D46" s="683" t="s">
        <v>164</v>
      </c>
      <c r="E46" s="684"/>
      <c r="F46" s="684"/>
      <c r="G46" s="685"/>
      <c r="H46" s="223"/>
    </row>
    <row r="47" spans="2:11" ht="20.149999999999999" customHeight="1" thickBot="1">
      <c r="B47" s="224"/>
      <c r="C47" s="198" t="s">
        <v>165</v>
      </c>
      <c r="D47" s="191"/>
      <c r="E47" s="191"/>
      <c r="F47" s="225"/>
      <c r="G47" s="202"/>
    </row>
    <row r="48" spans="2:11" ht="20.149999999999999" customHeight="1">
      <c r="B48" s="213" t="s">
        <v>53</v>
      </c>
      <c r="C48" s="226" t="s">
        <v>166</v>
      </c>
      <c r="D48" s="686" t="s">
        <v>167</v>
      </c>
      <c r="E48" s="687"/>
      <c r="F48" s="687"/>
      <c r="G48" s="688"/>
    </row>
    <row r="49" spans="2:8" ht="20.149999999999999" customHeight="1">
      <c r="B49" s="227" t="s">
        <v>53</v>
      </c>
      <c r="C49" s="228" t="s">
        <v>168</v>
      </c>
      <c r="D49" s="689" t="s">
        <v>169</v>
      </c>
      <c r="E49" s="690"/>
      <c r="F49" s="690"/>
      <c r="G49" s="691"/>
    </row>
    <row r="50" spans="2:8" ht="20.149999999999999" customHeight="1">
      <c r="B50" s="227" t="s">
        <v>53</v>
      </c>
      <c r="C50" s="228" t="s">
        <v>170</v>
      </c>
      <c r="D50" s="689" t="s">
        <v>171</v>
      </c>
      <c r="E50" s="690"/>
      <c r="F50" s="690"/>
      <c r="G50" s="691"/>
    </row>
    <row r="51" spans="2:8" ht="20.149999999999999" customHeight="1" thickBot="1">
      <c r="B51" s="141" t="s">
        <v>53</v>
      </c>
      <c r="C51" s="222" t="s">
        <v>172</v>
      </c>
      <c r="D51" s="683" t="s">
        <v>173</v>
      </c>
      <c r="E51" s="684"/>
      <c r="F51" s="684"/>
      <c r="G51" s="685"/>
    </row>
    <row r="52" spans="2:8" ht="13.5">
      <c r="B52" s="229" t="s">
        <v>118</v>
      </c>
      <c r="C52" s="230"/>
      <c r="D52" s="230"/>
      <c r="E52" s="230"/>
      <c r="F52" s="230"/>
      <c r="G52" s="231"/>
    </row>
    <row r="53" spans="2:8" ht="13.5">
      <c r="B53" s="109" t="s">
        <v>174</v>
      </c>
      <c r="C53" s="104"/>
      <c r="D53" s="104"/>
      <c r="E53" s="104"/>
      <c r="F53" s="104"/>
      <c r="G53" s="168"/>
    </row>
    <row r="54" spans="2:8" ht="12" customHeight="1">
      <c r="B54" s="109" t="s">
        <v>175</v>
      </c>
      <c r="C54" s="104"/>
      <c r="D54" s="104"/>
      <c r="E54" s="104"/>
      <c r="F54" s="104"/>
      <c r="G54" s="168"/>
    </row>
    <row r="55" spans="2:8" ht="20" customHeight="1">
      <c r="B55" s="109"/>
      <c r="C55" s="104"/>
      <c r="D55" s="104"/>
      <c r="E55" s="104"/>
      <c r="F55" s="104"/>
      <c r="G55" s="168"/>
    </row>
    <row r="56" spans="2:8" ht="24.75" customHeight="1">
      <c r="B56" s="679" t="s">
        <v>67</v>
      </c>
      <c r="C56" s="679"/>
      <c r="D56" s="679"/>
      <c r="E56" s="679"/>
      <c r="F56" s="679"/>
      <c r="G56" s="679"/>
    </row>
    <row r="57" spans="2:8" ht="36" customHeight="1">
      <c r="B57" s="104"/>
    </row>
    <row r="58" spans="2:8" ht="15" customHeight="1"/>
    <row r="59" spans="2:8" ht="15" customHeight="1"/>
    <row r="60" spans="2:8" ht="15" customHeight="1"/>
    <row r="61" spans="2:8" ht="71.25" customHeight="1">
      <c r="H61" s="232"/>
    </row>
    <row r="62" spans="2:8" ht="39" customHeight="1">
      <c r="H62" s="232"/>
    </row>
    <row r="63" spans="2:8" ht="18.75" customHeight="1">
      <c r="H63" s="232"/>
    </row>
    <row r="64" spans="2:8" ht="18.75" customHeight="1">
      <c r="H64" s="232"/>
    </row>
    <row r="65" spans="2:8" ht="13.5" customHeight="1">
      <c r="H65" s="232"/>
    </row>
    <row r="66" spans="2:8" ht="15" customHeight="1">
      <c r="B66" s="233"/>
      <c r="C66" s="233"/>
      <c r="F66" s="233"/>
      <c r="G66" s="233"/>
    </row>
    <row r="67" spans="2:8" ht="11.25" customHeight="1">
      <c r="B67" s="233"/>
      <c r="C67" s="233"/>
      <c r="D67" s="233"/>
      <c r="E67" s="233"/>
      <c r="F67" s="233"/>
    </row>
    <row r="68" spans="2:8" ht="13.5" customHeight="1">
      <c r="B68" s="233"/>
      <c r="C68" s="233"/>
      <c r="D68" s="234"/>
      <c r="E68" s="234"/>
      <c r="F68" s="235"/>
      <c r="G68" s="235"/>
    </row>
    <row r="69" spans="2:8" ht="15" customHeight="1">
      <c r="B69" s="236"/>
      <c r="C69" s="237"/>
      <c r="D69" s="238"/>
      <c r="E69" s="238"/>
      <c r="F69" s="239"/>
      <c r="G69" s="238"/>
    </row>
    <row r="70" spans="2:8" ht="15" customHeight="1">
      <c r="B70" s="236"/>
      <c r="C70" s="237"/>
      <c r="D70" s="238"/>
      <c r="E70" s="238"/>
      <c r="F70" s="239"/>
      <c r="G70" s="238"/>
    </row>
    <row r="71" spans="2:8" ht="15" customHeight="1">
      <c r="B71" s="236"/>
      <c r="C71" s="237"/>
      <c r="D71" s="238"/>
      <c r="E71" s="238"/>
      <c r="F71" s="239"/>
      <c r="G71" s="238"/>
    </row>
    <row r="72" spans="2:8" ht="15" customHeight="1">
      <c r="B72" s="236"/>
      <c r="C72" s="237"/>
      <c r="D72" s="238"/>
      <c r="E72" s="238"/>
      <c r="F72" s="239"/>
    </row>
    <row r="73" spans="2:8" ht="12" customHeight="1"/>
    <row r="74" spans="2:8" ht="23.25" customHeight="1">
      <c r="G74" s="100" t="s">
        <v>68</v>
      </c>
    </row>
    <row r="81" spans="7:7">
      <c r="G81" s="162"/>
    </row>
  </sheetData>
  <mergeCells count="8">
    <mergeCell ref="D51:G51"/>
    <mergeCell ref="B56:G56"/>
    <mergeCell ref="B2:G2"/>
    <mergeCell ref="B4:G4"/>
    <mergeCell ref="D46:G46"/>
    <mergeCell ref="D48:G48"/>
    <mergeCell ref="D49:G49"/>
    <mergeCell ref="D50:G50"/>
  </mergeCells>
  <conditionalFormatting sqref="F9:F12">
    <cfRule type="cellIs" dxfId="19" priority="17" stopIfTrue="1" operator="lessThan">
      <formula>0</formula>
    </cfRule>
    <cfRule type="cellIs" dxfId="18" priority="18" stopIfTrue="1" operator="greaterThanOrEqual">
      <formula>0</formula>
    </cfRule>
  </conditionalFormatting>
  <conditionalFormatting sqref="F14:F15">
    <cfRule type="cellIs" dxfId="17" priority="11" stopIfTrue="1" operator="lessThan">
      <formula>0</formula>
    </cfRule>
    <cfRule type="cellIs" dxfId="16" priority="12" stopIfTrue="1" operator="greaterThanOrEqual">
      <formula>0</formula>
    </cfRule>
  </conditionalFormatting>
  <conditionalFormatting sqref="F17:F21">
    <cfRule type="cellIs" dxfId="15" priority="15" stopIfTrue="1" operator="lessThan">
      <formula>0</formula>
    </cfRule>
    <cfRule type="cellIs" dxfId="14" priority="16" stopIfTrue="1" operator="greaterThanOrEqual">
      <formula>0</formula>
    </cfRule>
  </conditionalFormatting>
  <conditionalFormatting sqref="F23:F27">
    <cfRule type="cellIs" dxfId="13" priority="7" stopIfTrue="1" operator="lessThan">
      <formula>0</formula>
    </cfRule>
    <cfRule type="cellIs" dxfId="12" priority="8" stopIfTrue="1" operator="greaterThanOrEqual">
      <formula>0</formula>
    </cfRule>
  </conditionalFormatting>
  <conditionalFormatting sqref="F29:F39">
    <cfRule type="cellIs" dxfId="11" priority="9" stopIfTrue="1" operator="lessThan">
      <formula>0</formula>
    </cfRule>
    <cfRule type="cellIs" dxfId="10" priority="10" stopIfTrue="1" operator="greaterThanOrEqual">
      <formula>0</formula>
    </cfRule>
  </conditionalFormatting>
  <conditionalFormatting sqref="F41">
    <cfRule type="cellIs" dxfId="9" priority="13" stopIfTrue="1" operator="lessThan">
      <formula>0</formula>
    </cfRule>
    <cfRule type="cellIs" dxfId="8" priority="14" stopIfTrue="1" operator="greaterThanOrEqual">
      <formula>0</formula>
    </cfRule>
  </conditionalFormatting>
  <conditionalFormatting sqref="F43:F44">
    <cfRule type="cellIs" dxfId="7" priority="3" stopIfTrue="1" operator="lessThan">
      <formula>0</formula>
    </cfRule>
    <cfRule type="cellIs" dxfId="6" priority="4" stopIfTrue="1" operator="greaterThanOrEqual">
      <formula>0</formula>
    </cfRule>
  </conditionalFormatting>
  <conditionalFormatting sqref="F45:G45">
    <cfRule type="cellIs" dxfId="5" priority="5" stopIfTrue="1" operator="lessThan">
      <formula>0</formula>
    </cfRule>
    <cfRule type="cellIs" dxfId="4" priority="6" stopIfTrue="1" operator="greaterThanOrEqual">
      <formula>0</formula>
    </cfRule>
  </conditionalFormatting>
  <conditionalFormatting sqref="G9:G44">
    <cfRule type="cellIs" dxfId="3" priority="1" stopIfTrue="1" operator="lessThan">
      <formula>0</formula>
    </cfRule>
    <cfRule type="cellIs" dxfId="2" priority="2" stopIfTrue="1" operator="greaterThanOrEqual">
      <formula>0</formula>
    </cfRule>
  </conditionalFormatting>
  <conditionalFormatting sqref="G69:G71">
    <cfRule type="cellIs" dxfId="1" priority="19" stopIfTrue="1" operator="lessThan">
      <formula>0</formula>
    </cfRule>
    <cfRule type="cellIs" dxfId="0" priority="20" stopIfTrue="1" operator="greaterThanOrEqual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9" fitToHeight="0" orientation="portrait" r:id="rId1"/>
  <headerFooter scaleWithDoc="0" alignWithMargins="0">
    <oddHeader>&amp;R&amp;"Verdana,Normal"&amp;8 7</oddHeader>
    <oddFooter>&amp;R&amp;"Verdana,Cursiva"&amp;8Subdirección General de Análisis, Coordinación y Estadística</oddFooter>
  </headerFooter>
  <ignoredErrors>
    <ignoredError sqref="B9:B51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BDC0E-A474-4D15-B277-7D73370DA459}">
  <sheetPr>
    <pageSetUpPr fitToPage="1"/>
  </sheetPr>
  <dimension ref="B1:G35"/>
  <sheetViews>
    <sheetView showGridLines="0" zoomScaleNormal="100" zoomScaleSheetLayoutView="100" workbookViewId="0"/>
  </sheetViews>
  <sheetFormatPr baseColWidth="10" defaultColWidth="11.453125" defaultRowHeight="11.5"/>
  <cols>
    <col min="1" max="1" width="3.36328125" style="240" customWidth="1"/>
    <col min="2" max="2" width="42.90625" style="240" customWidth="1"/>
    <col min="3" max="3" width="35.54296875" style="240" customWidth="1"/>
    <col min="4" max="6" width="20.08984375" style="240" customWidth="1"/>
    <col min="7" max="7" width="8.08984375" style="240" customWidth="1"/>
    <col min="8" max="8" width="11.453125" style="240"/>
    <col min="9" max="9" width="33" style="240" customWidth="1"/>
    <col min="10" max="16384" width="11.453125" style="240"/>
  </cols>
  <sheetData>
    <row r="1" spans="2:7" ht="12" customHeight="1">
      <c r="G1" s="241"/>
    </row>
    <row r="2" spans="2:7" ht="36.75" customHeight="1">
      <c r="B2" s="693" t="s">
        <v>176</v>
      </c>
      <c r="C2" s="693"/>
      <c r="D2" s="693"/>
      <c r="E2" s="693"/>
      <c r="F2" s="693"/>
    </row>
    <row r="3" spans="2:7" ht="8.25" customHeight="1">
      <c r="B3" s="242"/>
      <c r="C3" s="242"/>
      <c r="D3" s="242"/>
      <c r="E3" s="242"/>
      <c r="F3" s="242"/>
    </row>
    <row r="4" spans="2:7" ht="30.75" customHeight="1">
      <c r="B4" s="675" t="s">
        <v>177</v>
      </c>
      <c r="C4" s="675"/>
      <c r="D4" s="675"/>
      <c r="E4" s="675"/>
      <c r="F4" s="675"/>
    </row>
    <row r="5" spans="2:7" ht="8.25" customHeight="1" thickBot="1">
      <c r="B5" s="4"/>
      <c r="C5" s="4"/>
      <c r="D5" s="4"/>
      <c r="E5" s="4"/>
      <c r="F5" s="4"/>
    </row>
    <row r="6" spans="2:7" ht="20.149999999999999" customHeight="1" thickBot="1">
      <c r="B6" s="676" t="s">
        <v>178</v>
      </c>
      <c r="C6" s="677"/>
      <c r="D6" s="677"/>
      <c r="E6" s="677"/>
      <c r="F6" s="678"/>
    </row>
    <row r="7" spans="2:7" ht="12" customHeight="1">
      <c r="B7" s="694" t="s">
        <v>179</v>
      </c>
      <c r="C7" s="694"/>
      <c r="D7" s="694"/>
      <c r="E7" s="694"/>
      <c r="F7" s="694"/>
      <c r="G7" s="243"/>
    </row>
    <row r="8" spans="2:7" ht="20.149999999999999" customHeight="1">
      <c r="B8" s="695" t="s">
        <v>180</v>
      </c>
      <c r="C8" s="695"/>
      <c r="D8" s="695"/>
      <c r="E8" s="695"/>
      <c r="F8" s="695"/>
      <c r="G8" s="243"/>
    </row>
    <row r="9" spans="2:7" ht="11.25" customHeight="1">
      <c r="B9" s="692" t="s">
        <v>181</v>
      </c>
      <c r="C9" s="692"/>
      <c r="D9" s="692"/>
      <c r="E9" s="692"/>
      <c r="F9" s="692"/>
    </row>
    <row r="10" spans="2:7" ht="11.25" customHeight="1">
      <c r="B10" s="692"/>
      <c r="C10" s="692"/>
      <c r="D10" s="692"/>
      <c r="E10" s="692"/>
      <c r="F10" s="692"/>
    </row>
    <row r="11" spans="2:7" ht="11.25" customHeight="1">
      <c r="B11" s="692" t="s">
        <v>182</v>
      </c>
      <c r="C11" s="692"/>
      <c r="D11" s="692"/>
      <c r="E11" s="692"/>
      <c r="F11" s="692"/>
    </row>
    <row r="12" spans="2:7" ht="11.25" customHeight="1" thickBot="1">
      <c r="B12" s="692"/>
      <c r="C12" s="692"/>
      <c r="D12" s="692"/>
      <c r="E12" s="692"/>
      <c r="F12" s="692"/>
    </row>
    <row r="13" spans="2:7" ht="39" customHeight="1" thickBot="1">
      <c r="B13" s="244" t="s">
        <v>183</v>
      </c>
      <c r="C13" s="245" t="s">
        <v>184</v>
      </c>
      <c r="D13" s="245" t="s">
        <v>185</v>
      </c>
      <c r="E13" s="245" t="s">
        <v>186</v>
      </c>
      <c r="F13" s="245" t="s">
        <v>187</v>
      </c>
    </row>
    <row r="14" spans="2:7" ht="15" customHeight="1">
      <c r="B14" s="246" t="s">
        <v>188</v>
      </c>
      <c r="C14" s="247" t="s">
        <v>189</v>
      </c>
      <c r="D14" s="248">
        <v>226.8</v>
      </c>
      <c r="E14" s="248">
        <v>224</v>
      </c>
      <c r="F14" s="249">
        <v>-2.8000000000000114</v>
      </c>
    </row>
    <row r="15" spans="2:7" ht="15" customHeight="1">
      <c r="B15" s="250"/>
      <c r="C15" s="247" t="s">
        <v>190</v>
      </c>
      <c r="D15" s="248">
        <v>228.4</v>
      </c>
      <c r="E15" s="248">
        <v>228.2</v>
      </c>
      <c r="F15" s="249">
        <v>-0.20000000000001705</v>
      </c>
    </row>
    <row r="16" spans="2:7" ht="15" customHeight="1">
      <c r="B16" s="250"/>
      <c r="C16" s="247" t="s">
        <v>191</v>
      </c>
      <c r="D16" s="248">
        <v>221</v>
      </c>
      <c r="E16" s="248">
        <v>221</v>
      </c>
      <c r="F16" s="249">
        <v>0</v>
      </c>
    </row>
    <row r="17" spans="2:6" ht="15" customHeight="1">
      <c r="B17" s="250"/>
      <c r="C17" s="247" t="s">
        <v>192</v>
      </c>
      <c r="D17" s="248">
        <v>215</v>
      </c>
      <c r="E17" s="248">
        <v>214</v>
      </c>
      <c r="F17" s="249">
        <v>-1</v>
      </c>
    </row>
    <row r="18" spans="2:6" ht="15" customHeight="1" thickBot="1">
      <c r="B18" s="251"/>
      <c r="C18" s="252" t="s">
        <v>193</v>
      </c>
      <c r="D18" s="253">
        <v>227.8</v>
      </c>
      <c r="E18" s="253">
        <v>225.7</v>
      </c>
      <c r="F18" s="254">
        <v>-2.1000000000000227</v>
      </c>
    </row>
    <row r="19" spans="2:6" ht="15" customHeight="1">
      <c r="B19" s="246" t="s">
        <v>194</v>
      </c>
      <c r="C19" s="247" t="s">
        <v>195</v>
      </c>
      <c r="D19" s="248">
        <v>195.6</v>
      </c>
      <c r="E19" s="248">
        <v>194.8</v>
      </c>
      <c r="F19" s="249">
        <v>-0.79999999999998295</v>
      </c>
    </row>
    <row r="20" spans="2:6" ht="15" customHeight="1">
      <c r="B20" s="250"/>
      <c r="C20" s="247" t="s">
        <v>189</v>
      </c>
      <c r="D20" s="248">
        <v>218</v>
      </c>
      <c r="E20" s="248">
        <v>215.6</v>
      </c>
      <c r="F20" s="249">
        <v>-2.4000000000000057</v>
      </c>
    </row>
    <row r="21" spans="2:6" ht="15" customHeight="1">
      <c r="B21" s="250"/>
      <c r="C21" s="247" t="s">
        <v>190</v>
      </c>
      <c r="D21" s="248">
        <v>218.4</v>
      </c>
      <c r="E21" s="248">
        <v>216.8</v>
      </c>
      <c r="F21" s="249">
        <v>-1.5999999999999943</v>
      </c>
    </row>
    <row r="22" spans="2:6" ht="15" customHeight="1">
      <c r="B22" s="250"/>
      <c r="C22" s="247" t="s">
        <v>196</v>
      </c>
      <c r="D22" s="248">
        <v>214.2</v>
      </c>
      <c r="E22" s="248">
        <v>214</v>
      </c>
      <c r="F22" s="249">
        <v>-0.19999999999998863</v>
      </c>
    </row>
    <row r="23" spans="2:6" ht="15" customHeight="1">
      <c r="B23" s="250"/>
      <c r="C23" s="247" t="s">
        <v>197</v>
      </c>
      <c r="D23" s="248">
        <v>195.2</v>
      </c>
      <c r="E23" s="248">
        <v>194.4</v>
      </c>
      <c r="F23" s="249">
        <v>-0.79999999999998295</v>
      </c>
    </row>
    <row r="24" spans="2:6" ht="15" customHeight="1">
      <c r="B24" s="250"/>
      <c r="C24" s="247" t="s">
        <v>198</v>
      </c>
      <c r="D24" s="248">
        <v>204</v>
      </c>
      <c r="E24" s="248">
        <v>203.2</v>
      </c>
      <c r="F24" s="249">
        <v>-0.80000000000001137</v>
      </c>
    </row>
    <row r="25" spans="2:6" ht="15" customHeight="1">
      <c r="B25" s="250"/>
      <c r="C25" s="247" t="s">
        <v>192</v>
      </c>
      <c r="D25" s="248">
        <v>198</v>
      </c>
      <c r="E25" s="248">
        <v>196.4</v>
      </c>
      <c r="F25" s="249">
        <v>-1.5999999999999943</v>
      </c>
    </row>
    <row r="26" spans="2:6" ht="15" customHeight="1">
      <c r="B26" s="250"/>
      <c r="C26" s="247" t="s">
        <v>199</v>
      </c>
      <c r="D26" s="248">
        <v>218</v>
      </c>
      <c r="E26" s="248">
        <v>218</v>
      </c>
      <c r="F26" s="249">
        <v>0</v>
      </c>
    </row>
    <row r="27" spans="2:6" ht="15" customHeight="1">
      <c r="B27" s="250"/>
      <c r="C27" s="247" t="s">
        <v>200</v>
      </c>
      <c r="D27" s="248">
        <v>216</v>
      </c>
      <c r="E27" s="248">
        <v>215</v>
      </c>
      <c r="F27" s="249">
        <v>-1</v>
      </c>
    </row>
    <row r="28" spans="2:6" ht="15" customHeight="1">
      <c r="B28" s="250"/>
      <c r="C28" s="247" t="s">
        <v>201</v>
      </c>
      <c r="D28" s="248">
        <v>213.5</v>
      </c>
      <c r="E28" s="248">
        <v>213.2</v>
      </c>
      <c r="F28" s="249">
        <v>-0.30000000000001137</v>
      </c>
    </row>
    <row r="29" spans="2:6" ht="15" customHeight="1">
      <c r="B29" s="250"/>
      <c r="C29" s="247" t="s">
        <v>202</v>
      </c>
      <c r="D29" s="248">
        <v>204.2</v>
      </c>
      <c r="E29" s="248">
        <v>204.2</v>
      </c>
      <c r="F29" s="249">
        <v>0</v>
      </c>
    </row>
    <row r="30" spans="2:6" ht="15" customHeight="1">
      <c r="B30" s="250"/>
      <c r="C30" s="247" t="s">
        <v>203</v>
      </c>
      <c r="D30" s="248">
        <v>205.8</v>
      </c>
      <c r="E30" s="248">
        <v>206</v>
      </c>
      <c r="F30" s="249">
        <v>0.19999999999998863</v>
      </c>
    </row>
    <row r="31" spans="2:6" ht="15" customHeight="1" thickBot="1">
      <c r="B31" s="251"/>
      <c r="C31" s="252" t="s">
        <v>193</v>
      </c>
      <c r="D31" s="253">
        <v>219.2</v>
      </c>
      <c r="E31" s="253">
        <v>219.2</v>
      </c>
      <c r="F31" s="254">
        <v>0</v>
      </c>
    </row>
    <row r="32" spans="2:6" ht="15" customHeight="1">
      <c r="B32" s="255" t="s">
        <v>204</v>
      </c>
      <c r="C32" s="247" t="s">
        <v>199</v>
      </c>
      <c r="D32" s="248">
        <v>246</v>
      </c>
      <c r="E32" s="248">
        <v>246</v>
      </c>
      <c r="F32" s="249">
        <v>0</v>
      </c>
    </row>
    <row r="33" spans="2:6" ht="15" customHeight="1">
      <c r="B33" s="255"/>
      <c r="C33" s="247" t="s">
        <v>201</v>
      </c>
      <c r="D33" s="248">
        <v>236</v>
      </c>
      <c r="E33" s="248">
        <v>236</v>
      </c>
      <c r="F33" s="249">
        <v>0</v>
      </c>
    </row>
    <row r="34" spans="2:6" ht="15" customHeight="1" thickBot="1">
      <c r="B34" s="256"/>
      <c r="C34" s="252" t="s">
        <v>193</v>
      </c>
      <c r="D34" s="253">
        <v>265</v>
      </c>
      <c r="E34" s="253">
        <v>265</v>
      </c>
      <c r="F34" s="254">
        <v>0</v>
      </c>
    </row>
    <row r="35" spans="2:6">
      <c r="F35" s="162" t="s">
        <v>68</v>
      </c>
    </row>
  </sheetData>
  <mergeCells count="7">
    <mergeCell ref="B11:F12"/>
    <mergeCell ref="B2:F2"/>
    <mergeCell ref="B4:F4"/>
    <mergeCell ref="B6:F6"/>
    <mergeCell ref="B7:F7"/>
    <mergeCell ref="B8:F8"/>
    <mergeCell ref="B9:F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1" firstPageNumber="0" orientation="portrait" r:id="rId1"/>
  <headerFooter scaleWithDoc="0" alignWithMargins="0">
    <oddHeader>&amp;R&amp;"Verdana,Normal"&amp;8 9</oddHeader>
    <oddFooter>&amp;R&amp;"Verdana,Cursiva"&amp;8Subdirección General de Análisis, Coordinación y Estadística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608AF-4F7B-43F5-B269-DB22C00C9FB4}">
  <sheetPr>
    <pageSetUpPr fitToPage="1"/>
  </sheetPr>
  <dimension ref="A1:H39"/>
  <sheetViews>
    <sheetView showGridLines="0" zoomScaleNormal="100" zoomScaleSheetLayoutView="79" workbookViewId="0"/>
  </sheetViews>
  <sheetFormatPr baseColWidth="10" defaultColWidth="11.453125" defaultRowHeight="11.5"/>
  <cols>
    <col min="1" max="1" width="3.36328125" style="240" customWidth="1"/>
    <col min="2" max="2" width="34.36328125" style="240" customWidth="1"/>
    <col min="3" max="3" width="33.36328125" style="240" customWidth="1"/>
    <col min="4" max="6" width="20.08984375" style="240" customWidth="1"/>
    <col min="7" max="7" width="3.36328125" style="240" customWidth="1"/>
    <col min="8" max="8" width="11.453125" style="240"/>
    <col min="9" max="9" width="23.90625" style="240" customWidth="1"/>
    <col min="10" max="16384" width="11.453125" style="240"/>
  </cols>
  <sheetData>
    <row r="1" spans="1:8" ht="10.5" customHeight="1">
      <c r="F1" s="241"/>
    </row>
    <row r="2" spans="1:8" ht="5.25" customHeight="1" thickBot="1"/>
    <row r="3" spans="1:8" ht="20.149999999999999" customHeight="1" thickBot="1">
      <c r="A3" s="257"/>
      <c r="B3" s="676" t="s">
        <v>205</v>
      </c>
      <c r="C3" s="677"/>
      <c r="D3" s="677"/>
      <c r="E3" s="677"/>
      <c r="F3" s="678"/>
      <c r="G3" s="257"/>
    </row>
    <row r="4" spans="1:8" ht="12" customHeight="1">
      <c r="B4" s="694" t="s">
        <v>179</v>
      </c>
      <c r="C4" s="694"/>
      <c r="D4" s="694"/>
      <c r="E4" s="694"/>
      <c r="F4" s="694"/>
      <c r="G4" s="243"/>
    </row>
    <row r="5" spans="1:8" ht="20.149999999999999" customHeight="1">
      <c r="B5" s="696" t="s">
        <v>180</v>
      </c>
      <c r="C5" s="696"/>
      <c r="D5" s="696"/>
      <c r="E5" s="696"/>
      <c r="F5" s="696"/>
      <c r="G5" s="243"/>
    </row>
    <row r="6" spans="1:8" ht="15.75" customHeight="1">
      <c r="B6" s="697" t="s">
        <v>206</v>
      </c>
      <c r="C6" s="697"/>
      <c r="D6" s="697"/>
      <c r="E6" s="697"/>
      <c r="F6" s="697"/>
    </row>
    <row r="7" spans="1:8" ht="9.75" customHeight="1" thickBot="1">
      <c r="B7" s="698"/>
      <c r="C7" s="698"/>
      <c r="D7" s="698"/>
      <c r="E7" s="698"/>
      <c r="F7" s="698"/>
    </row>
    <row r="8" spans="1:8" ht="39" customHeight="1" thickBot="1">
      <c r="B8" s="244" t="s">
        <v>183</v>
      </c>
      <c r="C8" s="258" t="s">
        <v>184</v>
      </c>
      <c r="D8" s="245" t="s">
        <v>186</v>
      </c>
      <c r="E8" s="245" t="s">
        <v>207</v>
      </c>
      <c r="F8" s="245" t="s">
        <v>187</v>
      </c>
    </row>
    <row r="9" spans="1:8" ht="15" customHeight="1">
      <c r="B9" s="246" t="s">
        <v>208</v>
      </c>
      <c r="C9" s="247" t="s">
        <v>209</v>
      </c>
      <c r="D9" s="248">
        <v>190.3</v>
      </c>
      <c r="E9" s="248">
        <v>187.9</v>
      </c>
      <c r="F9" s="259">
        <v>-2.4</v>
      </c>
      <c r="G9" s="260"/>
      <c r="H9" s="260"/>
    </row>
    <row r="10" spans="1:8" ht="15" customHeight="1">
      <c r="B10" s="250"/>
      <c r="C10" s="247" t="s">
        <v>210</v>
      </c>
      <c r="D10" s="248">
        <v>186</v>
      </c>
      <c r="E10" s="248">
        <v>188</v>
      </c>
      <c r="F10" s="259">
        <v>2</v>
      </c>
      <c r="G10" s="260"/>
      <c r="H10" s="260"/>
    </row>
    <row r="11" spans="1:8" ht="15" customHeight="1">
      <c r="B11" s="250"/>
      <c r="C11" s="247" t="s">
        <v>211</v>
      </c>
      <c r="D11" s="248">
        <v>198.2</v>
      </c>
      <c r="E11" s="248">
        <v>200.8</v>
      </c>
      <c r="F11" s="259">
        <v>2.6</v>
      </c>
      <c r="G11" s="260"/>
      <c r="H11" s="260"/>
    </row>
    <row r="12" spans="1:8" ht="15" customHeight="1">
      <c r="B12" s="250"/>
      <c r="C12" s="247" t="s">
        <v>212</v>
      </c>
      <c r="D12" s="248">
        <v>193</v>
      </c>
      <c r="E12" s="248">
        <v>193</v>
      </c>
      <c r="F12" s="259">
        <v>0</v>
      </c>
      <c r="G12" s="260"/>
      <c r="H12" s="260"/>
    </row>
    <row r="13" spans="1:8" ht="15" customHeight="1">
      <c r="B13" s="250"/>
      <c r="C13" s="247" t="s">
        <v>213</v>
      </c>
      <c r="D13" s="248">
        <v>196.4</v>
      </c>
      <c r="E13" s="248">
        <v>196.4</v>
      </c>
      <c r="F13" s="259">
        <v>0</v>
      </c>
      <c r="G13" s="260"/>
      <c r="H13" s="260"/>
    </row>
    <row r="14" spans="1:8" ht="15" customHeight="1">
      <c r="B14" s="250"/>
      <c r="C14" s="247" t="s">
        <v>214</v>
      </c>
      <c r="D14" s="248">
        <v>195</v>
      </c>
      <c r="E14" s="248">
        <v>195</v>
      </c>
      <c r="F14" s="259">
        <v>0</v>
      </c>
      <c r="G14" s="260"/>
      <c r="H14" s="260"/>
    </row>
    <row r="15" spans="1:8" ht="15" customHeight="1">
      <c r="B15" s="250"/>
      <c r="C15" s="247" t="s">
        <v>215</v>
      </c>
      <c r="D15" s="248">
        <v>203</v>
      </c>
      <c r="E15" s="248">
        <v>203</v>
      </c>
      <c r="F15" s="259">
        <v>0</v>
      </c>
      <c r="G15" s="260"/>
      <c r="H15" s="260"/>
    </row>
    <row r="16" spans="1:8" ht="15" customHeight="1">
      <c r="B16" s="250"/>
      <c r="C16" s="247" t="s">
        <v>216</v>
      </c>
      <c r="D16" s="248">
        <v>200</v>
      </c>
      <c r="E16" s="248">
        <v>201</v>
      </c>
      <c r="F16" s="259">
        <v>1</v>
      </c>
      <c r="G16" s="260"/>
      <c r="H16" s="260"/>
    </row>
    <row r="17" spans="2:8" ht="15" customHeight="1">
      <c r="B17" s="250"/>
      <c r="C17" s="247" t="s">
        <v>217</v>
      </c>
      <c r="D17" s="248">
        <v>208</v>
      </c>
      <c r="E17" s="248">
        <v>208</v>
      </c>
      <c r="F17" s="259">
        <v>0</v>
      </c>
      <c r="G17" s="260"/>
      <c r="H17" s="260"/>
    </row>
    <row r="18" spans="2:8" ht="15" customHeight="1">
      <c r="B18" s="250"/>
      <c r="C18" s="247" t="s">
        <v>218</v>
      </c>
      <c r="D18" s="248">
        <v>196</v>
      </c>
      <c r="E18" s="248">
        <v>196</v>
      </c>
      <c r="F18" s="259">
        <v>0</v>
      </c>
      <c r="G18" s="260"/>
      <c r="H18" s="260"/>
    </row>
    <row r="19" spans="2:8" ht="15" customHeight="1">
      <c r="B19" s="250"/>
      <c r="C19" s="247" t="s">
        <v>219</v>
      </c>
      <c r="D19" s="248">
        <v>186</v>
      </c>
      <c r="E19" s="248">
        <v>186</v>
      </c>
      <c r="F19" s="259">
        <v>0</v>
      </c>
      <c r="G19" s="260"/>
      <c r="H19" s="260"/>
    </row>
    <row r="20" spans="2:8" ht="15" customHeight="1">
      <c r="B20" s="250"/>
      <c r="C20" s="247" t="s">
        <v>220</v>
      </c>
      <c r="D20" s="248">
        <v>190</v>
      </c>
      <c r="E20" s="248">
        <v>196</v>
      </c>
      <c r="F20" s="259">
        <v>6</v>
      </c>
      <c r="G20" s="260"/>
      <c r="H20" s="260"/>
    </row>
    <row r="21" spans="2:8" ht="15" customHeight="1">
      <c r="B21" s="250"/>
      <c r="C21" s="247" t="s">
        <v>221</v>
      </c>
      <c r="D21" s="248">
        <v>198</v>
      </c>
      <c r="E21" s="248">
        <v>200</v>
      </c>
      <c r="F21" s="259">
        <v>2</v>
      </c>
      <c r="G21" s="260"/>
      <c r="H21" s="260"/>
    </row>
    <row r="22" spans="2:8" ht="15" customHeight="1">
      <c r="B22" s="250"/>
      <c r="C22" s="247" t="s">
        <v>222</v>
      </c>
      <c r="D22" s="248">
        <v>199.6</v>
      </c>
      <c r="E22" s="248">
        <v>199.4</v>
      </c>
      <c r="F22" s="259">
        <v>-0.2</v>
      </c>
      <c r="G22" s="260"/>
      <c r="H22" s="260"/>
    </row>
    <row r="23" spans="2:8" ht="15" customHeight="1">
      <c r="B23" s="250"/>
      <c r="C23" s="247" t="s">
        <v>223</v>
      </c>
      <c r="D23" s="248">
        <v>196</v>
      </c>
      <c r="E23" s="248">
        <v>196</v>
      </c>
      <c r="F23" s="259">
        <v>0</v>
      </c>
      <c r="G23" s="260"/>
      <c r="H23" s="260"/>
    </row>
    <row r="24" spans="2:8" ht="15" customHeight="1">
      <c r="B24" s="250"/>
      <c r="C24" s="247" t="s">
        <v>224</v>
      </c>
      <c r="D24" s="248">
        <v>203</v>
      </c>
      <c r="E24" s="248">
        <v>203</v>
      </c>
      <c r="F24" s="259">
        <v>0</v>
      </c>
      <c r="G24" s="260"/>
      <c r="H24" s="260"/>
    </row>
    <row r="25" spans="2:8" ht="15" customHeight="1" thickBot="1">
      <c r="B25" s="251"/>
      <c r="C25" s="252" t="s">
        <v>225</v>
      </c>
      <c r="D25" s="253">
        <v>198</v>
      </c>
      <c r="E25" s="253">
        <v>200</v>
      </c>
      <c r="F25" s="261">
        <v>2</v>
      </c>
      <c r="G25" s="260"/>
      <c r="H25" s="260"/>
    </row>
    <row r="26" spans="2:8" ht="15" customHeight="1">
      <c r="B26" s="262" t="s">
        <v>226</v>
      </c>
      <c r="C26" s="247" t="s">
        <v>209</v>
      </c>
      <c r="D26" s="263">
        <v>224.6</v>
      </c>
      <c r="E26" s="263">
        <v>219</v>
      </c>
      <c r="F26" s="264">
        <v>-5.6</v>
      </c>
    </row>
    <row r="27" spans="2:8" ht="15" customHeight="1">
      <c r="B27" s="262"/>
      <c r="C27" s="247" t="s">
        <v>211</v>
      </c>
      <c r="D27" s="263">
        <v>228.6</v>
      </c>
      <c r="E27" s="263">
        <v>228.6</v>
      </c>
      <c r="F27" s="264">
        <v>0</v>
      </c>
    </row>
    <row r="28" spans="2:8" ht="15" customHeight="1">
      <c r="B28" s="262"/>
      <c r="C28" s="247" t="s">
        <v>213</v>
      </c>
      <c r="D28" s="263">
        <v>222</v>
      </c>
      <c r="E28" s="263">
        <v>222</v>
      </c>
      <c r="F28" s="264">
        <v>0</v>
      </c>
    </row>
    <row r="29" spans="2:8" ht="15" customHeight="1">
      <c r="B29" s="250"/>
      <c r="C29" s="247" t="s">
        <v>214</v>
      </c>
      <c r="D29" s="263">
        <v>216</v>
      </c>
      <c r="E29" s="263">
        <v>216</v>
      </c>
      <c r="F29" s="264">
        <v>0</v>
      </c>
    </row>
    <row r="30" spans="2:8" ht="15" customHeight="1">
      <c r="B30" s="250"/>
      <c r="C30" s="247" t="s">
        <v>215</v>
      </c>
      <c r="D30" s="263">
        <v>216.2</v>
      </c>
      <c r="E30" s="263">
        <v>216.2</v>
      </c>
      <c r="F30" s="264">
        <v>0</v>
      </c>
    </row>
    <row r="31" spans="2:8" ht="15" customHeight="1">
      <c r="B31" s="250"/>
      <c r="C31" s="247" t="s">
        <v>216</v>
      </c>
      <c r="D31" s="263">
        <v>212</v>
      </c>
      <c r="E31" s="263">
        <v>211</v>
      </c>
      <c r="F31" s="264">
        <v>-1</v>
      </c>
    </row>
    <row r="32" spans="2:8" ht="15" customHeight="1">
      <c r="B32" s="250"/>
      <c r="C32" s="247" t="s">
        <v>227</v>
      </c>
      <c r="D32" s="263">
        <v>216</v>
      </c>
      <c r="E32" s="263">
        <v>216</v>
      </c>
      <c r="F32" s="264">
        <v>0</v>
      </c>
    </row>
    <row r="33" spans="2:6" ht="15" customHeight="1">
      <c r="B33" s="262"/>
      <c r="C33" s="247" t="s">
        <v>218</v>
      </c>
      <c r="D33" s="263">
        <v>221.8</v>
      </c>
      <c r="E33" s="263">
        <v>222.6</v>
      </c>
      <c r="F33" s="264">
        <v>0.8</v>
      </c>
    </row>
    <row r="34" spans="2:6" ht="15" customHeight="1">
      <c r="B34" s="250"/>
      <c r="C34" s="247" t="s">
        <v>228</v>
      </c>
      <c r="D34" s="263">
        <v>221</v>
      </c>
      <c r="E34" s="263">
        <v>221</v>
      </c>
      <c r="F34" s="264">
        <v>0</v>
      </c>
    </row>
    <row r="35" spans="2:6" ht="15" customHeight="1">
      <c r="B35" s="250"/>
      <c r="C35" s="247" t="s">
        <v>222</v>
      </c>
      <c r="D35" s="263">
        <v>227</v>
      </c>
      <c r="E35" s="263">
        <v>226.6</v>
      </c>
      <c r="F35" s="264">
        <v>-0.4</v>
      </c>
    </row>
    <row r="36" spans="2:6" ht="15" customHeight="1">
      <c r="B36" s="250"/>
      <c r="C36" s="247" t="s">
        <v>223</v>
      </c>
      <c r="D36" s="263">
        <v>221.4</v>
      </c>
      <c r="E36" s="263">
        <v>221.4</v>
      </c>
      <c r="F36" s="264">
        <v>0</v>
      </c>
    </row>
    <row r="37" spans="2:6" ht="15" customHeight="1">
      <c r="B37" s="250"/>
      <c r="C37" s="247" t="s">
        <v>224</v>
      </c>
      <c r="D37" s="263">
        <v>214.8</v>
      </c>
      <c r="E37" s="263">
        <v>214.8</v>
      </c>
      <c r="F37" s="264">
        <v>0</v>
      </c>
    </row>
    <row r="38" spans="2:6" ht="15" customHeight="1" thickBot="1">
      <c r="B38" s="251"/>
      <c r="C38" s="252" t="s">
        <v>225</v>
      </c>
      <c r="D38" s="265">
        <v>217</v>
      </c>
      <c r="E38" s="265">
        <v>218</v>
      </c>
      <c r="F38" s="266">
        <v>1</v>
      </c>
    </row>
    <row r="39" spans="2:6">
      <c r="F39" s="162" t="s">
        <v>68</v>
      </c>
    </row>
  </sheetData>
  <mergeCells count="4">
    <mergeCell ref="B3:F3"/>
    <mergeCell ref="B4:F4"/>
    <mergeCell ref="B5:F5"/>
    <mergeCell ref="B6:F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6" firstPageNumber="0" fitToHeight="0" orientation="portrait" r:id="rId1"/>
  <headerFooter scaleWithDoc="0" alignWithMargins="0">
    <oddHeader>&amp;R&amp;"Verdana,Normal"&amp;8 10</oddHeader>
    <oddFooter>&amp;R&amp;"Verdana,Cursiva"&amp;8Subdirección General de Análisis, Coordinación y Estadística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6D9BA-9CF2-4B70-B3A9-4659592536B3}">
  <sheetPr>
    <pageSetUpPr fitToPage="1"/>
  </sheetPr>
  <dimension ref="B1:G40"/>
  <sheetViews>
    <sheetView showGridLines="0" zoomScaleNormal="100" zoomScaleSheetLayoutView="80" workbookViewId="0"/>
  </sheetViews>
  <sheetFormatPr baseColWidth="10" defaultColWidth="11.453125" defaultRowHeight="11.5"/>
  <cols>
    <col min="1" max="1" width="3.36328125" style="240" customWidth="1"/>
    <col min="2" max="2" width="45.6328125" style="240" customWidth="1"/>
    <col min="3" max="3" width="33.36328125" style="240" customWidth="1"/>
    <col min="4" max="6" width="20.08984375" style="240" customWidth="1"/>
    <col min="7" max="7" width="6.36328125" style="240" customWidth="1"/>
    <col min="8" max="8" width="11.453125" style="240"/>
    <col min="9" max="9" width="11.453125" style="240" customWidth="1"/>
    <col min="10" max="16384" width="11.453125" style="240"/>
  </cols>
  <sheetData>
    <row r="1" spans="2:7" ht="13.5" customHeight="1"/>
    <row r="2" spans="2:7" ht="10.5" customHeight="1" thickBot="1"/>
    <row r="3" spans="2:7" ht="20.149999999999999" customHeight="1" thickBot="1">
      <c r="B3" s="676" t="s">
        <v>229</v>
      </c>
      <c r="C3" s="677"/>
      <c r="D3" s="677"/>
      <c r="E3" s="677"/>
      <c r="F3" s="678"/>
    </row>
    <row r="4" spans="2:7" ht="12" customHeight="1">
      <c r="B4" s="694" t="s">
        <v>179</v>
      </c>
      <c r="C4" s="694"/>
      <c r="D4" s="694"/>
      <c r="E4" s="694"/>
      <c r="F4" s="694"/>
      <c r="G4" s="243"/>
    </row>
    <row r="5" spans="2:7" ht="30" customHeight="1">
      <c r="B5" s="699" t="s">
        <v>230</v>
      </c>
      <c r="C5" s="699"/>
      <c r="D5" s="699"/>
      <c r="E5" s="699"/>
      <c r="F5" s="699"/>
      <c r="G5" s="243"/>
    </row>
    <row r="6" spans="2:7" ht="25.5" customHeight="1">
      <c r="B6" s="700" t="s">
        <v>231</v>
      </c>
      <c r="C6" s="700"/>
      <c r="D6" s="700"/>
      <c r="E6" s="700"/>
      <c r="F6" s="700"/>
    </row>
    <row r="7" spans="2:7" ht="20.149999999999999" customHeight="1">
      <c r="B7" s="701" t="s">
        <v>182</v>
      </c>
      <c r="C7" s="701"/>
      <c r="D7" s="701"/>
      <c r="E7" s="701"/>
      <c r="F7" s="701"/>
    </row>
    <row r="8" spans="2:7" ht="10.5" customHeight="1" thickBot="1">
      <c r="B8" s="702"/>
      <c r="C8" s="702"/>
      <c r="D8" s="702"/>
      <c r="E8" s="702"/>
      <c r="F8" s="702"/>
    </row>
    <row r="9" spans="2:7" ht="39" customHeight="1" thickBot="1">
      <c r="B9" s="244" t="s">
        <v>232</v>
      </c>
      <c r="C9" s="245" t="s">
        <v>184</v>
      </c>
      <c r="D9" s="245" t="s">
        <v>186</v>
      </c>
      <c r="E9" s="245" t="s">
        <v>207</v>
      </c>
      <c r="F9" s="245" t="s">
        <v>187</v>
      </c>
    </row>
    <row r="10" spans="2:7" ht="15" customHeight="1">
      <c r="B10" s="267" t="s">
        <v>233</v>
      </c>
      <c r="C10" s="268" t="s">
        <v>234</v>
      </c>
      <c r="D10" s="269">
        <v>300</v>
      </c>
      <c r="E10" s="269">
        <v>300</v>
      </c>
      <c r="F10" s="270">
        <v>0</v>
      </c>
    </row>
    <row r="11" spans="2:7" ht="15" customHeight="1" thickBot="1">
      <c r="B11" s="271"/>
      <c r="C11" s="272" t="s">
        <v>235</v>
      </c>
      <c r="D11" s="265">
        <v>310</v>
      </c>
      <c r="E11" s="265">
        <v>310</v>
      </c>
      <c r="F11" s="266">
        <v>0</v>
      </c>
    </row>
    <row r="12" spans="2:7" ht="15" customHeight="1">
      <c r="B12" s="262" t="s">
        <v>236</v>
      </c>
      <c r="C12" s="273" t="s">
        <v>214</v>
      </c>
      <c r="D12" s="263">
        <v>380</v>
      </c>
      <c r="E12" s="263">
        <v>380</v>
      </c>
      <c r="F12" s="264">
        <v>0</v>
      </c>
    </row>
    <row r="13" spans="2:7" ht="15" customHeight="1">
      <c r="B13" s="250"/>
      <c r="C13" s="247" t="s">
        <v>237</v>
      </c>
      <c r="D13" s="263">
        <v>470</v>
      </c>
      <c r="E13" s="263">
        <v>470</v>
      </c>
      <c r="F13" s="264">
        <v>0</v>
      </c>
    </row>
    <row r="14" spans="2:7" ht="15" customHeight="1" thickBot="1">
      <c r="B14" s="251"/>
      <c r="C14" s="274" t="s">
        <v>235</v>
      </c>
      <c r="D14" s="275">
        <v>450</v>
      </c>
      <c r="E14" s="275">
        <v>450</v>
      </c>
      <c r="F14" s="276">
        <v>0</v>
      </c>
    </row>
    <row r="15" spans="2:7" ht="15" customHeight="1">
      <c r="B15" s="262" t="s">
        <v>238</v>
      </c>
      <c r="C15" s="273" t="s">
        <v>214</v>
      </c>
      <c r="D15" s="263">
        <v>450</v>
      </c>
      <c r="E15" s="263">
        <v>450</v>
      </c>
      <c r="F15" s="264">
        <v>0</v>
      </c>
    </row>
    <row r="16" spans="2:7" ht="15" customHeight="1">
      <c r="B16" s="250"/>
      <c r="C16" s="273" t="s">
        <v>237</v>
      </c>
      <c r="D16" s="263">
        <v>1075</v>
      </c>
      <c r="E16" s="263">
        <v>1075</v>
      </c>
      <c r="F16" s="277">
        <v>0</v>
      </c>
    </row>
    <row r="17" spans="2:6" ht="15" customHeight="1" thickBot="1">
      <c r="B17" s="251"/>
      <c r="C17" s="274" t="s">
        <v>235</v>
      </c>
      <c r="D17" s="275">
        <v>1182.5</v>
      </c>
      <c r="E17" s="275">
        <v>1182.5</v>
      </c>
      <c r="F17" s="276">
        <v>0</v>
      </c>
    </row>
    <row r="18" spans="2:6" ht="15" customHeight="1">
      <c r="B18" s="262" t="s">
        <v>239</v>
      </c>
      <c r="C18" s="278" t="s">
        <v>237</v>
      </c>
      <c r="D18" s="263">
        <v>445</v>
      </c>
      <c r="E18" s="263">
        <v>445</v>
      </c>
      <c r="F18" s="264">
        <v>0</v>
      </c>
    </row>
    <row r="19" spans="2:6" ht="15" customHeight="1" thickBot="1">
      <c r="B19" s="251"/>
      <c r="C19" s="272" t="s">
        <v>235</v>
      </c>
      <c r="D19" s="265">
        <v>480</v>
      </c>
      <c r="E19" s="265">
        <v>480</v>
      </c>
      <c r="F19" s="276">
        <v>0</v>
      </c>
    </row>
    <row r="20" spans="2:6">
      <c r="B20" s="246" t="s">
        <v>240</v>
      </c>
      <c r="C20" s="247" t="s">
        <v>209</v>
      </c>
      <c r="D20" s="248">
        <v>180</v>
      </c>
      <c r="E20" s="248">
        <v>180</v>
      </c>
      <c r="F20" s="259">
        <v>0</v>
      </c>
    </row>
    <row r="21" spans="2:6" ht="12.5">
      <c r="B21" s="250"/>
      <c r="C21" s="247" t="s">
        <v>210</v>
      </c>
      <c r="D21" s="248">
        <v>227</v>
      </c>
      <c r="E21" s="248">
        <v>227</v>
      </c>
      <c r="F21" s="259">
        <v>0</v>
      </c>
    </row>
    <row r="22" spans="2:6" ht="12.5">
      <c r="B22" s="250"/>
      <c r="C22" s="247" t="s">
        <v>241</v>
      </c>
      <c r="D22" s="248">
        <v>185</v>
      </c>
      <c r="E22" s="248">
        <v>185</v>
      </c>
      <c r="F22" s="259">
        <v>0</v>
      </c>
    </row>
    <row r="23" spans="2:6" ht="12.5">
      <c r="B23" s="250"/>
      <c r="C23" s="247" t="s">
        <v>214</v>
      </c>
      <c r="D23" s="248">
        <v>222.6666666667</v>
      </c>
      <c r="E23" s="248">
        <v>222.6666666667</v>
      </c>
      <c r="F23" s="259">
        <v>0</v>
      </c>
    </row>
    <row r="24" spans="2:6" ht="12.5">
      <c r="B24" s="250"/>
      <c r="C24" s="247" t="s">
        <v>216</v>
      </c>
      <c r="D24" s="248">
        <v>212.6666666667</v>
      </c>
      <c r="E24" s="248">
        <v>215.1666666667</v>
      </c>
      <c r="F24" s="259">
        <v>2.5</v>
      </c>
    </row>
    <row r="25" spans="2:6" ht="12.5">
      <c r="B25" s="250"/>
      <c r="C25" s="247" t="s">
        <v>227</v>
      </c>
      <c r="D25" s="248">
        <v>222.5</v>
      </c>
      <c r="E25" s="248">
        <v>237.5</v>
      </c>
      <c r="F25" s="259">
        <v>15</v>
      </c>
    </row>
    <row r="26" spans="2:6" ht="12.5">
      <c r="B26" s="250"/>
      <c r="C26" s="247" t="s">
        <v>228</v>
      </c>
      <c r="D26" s="248">
        <v>200</v>
      </c>
      <c r="E26" s="248">
        <v>200</v>
      </c>
      <c r="F26" s="259">
        <v>0</v>
      </c>
    </row>
    <row r="27" spans="2:6" ht="12.5">
      <c r="B27" s="250"/>
      <c r="C27" s="247" t="s">
        <v>222</v>
      </c>
      <c r="D27" s="248">
        <v>220</v>
      </c>
      <c r="E27" s="248">
        <v>220</v>
      </c>
      <c r="F27" s="259">
        <v>0</v>
      </c>
    </row>
    <row r="28" spans="2:6" ht="12.5">
      <c r="B28" s="250"/>
      <c r="C28" s="247" t="s">
        <v>224</v>
      </c>
      <c r="D28" s="248">
        <v>223</v>
      </c>
      <c r="E28" s="248">
        <v>223</v>
      </c>
      <c r="F28" s="259">
        <v>0</v>
      </c>
    </row>
    <row r="29" spans="2:6" ht="13" thickBot="1">
      <c r="B29" s="251"/>
      <c r="C29" s="252" t="s">
        <v>225</v>
      </c>
      <c r="D29" s="253">
        <v>230.6666666667</v>
      </c>
      <c r="E29" s="253">
        <v>232.3333333333</v>
      </c>
      <c r="F29" s="276">
        <v>1.6666666666000001</v>
      </c>
    </row>
    <row r="30" spans="2:6">
      <c r="B30" s="246" t="s">
        <v>242</v>
      </c>
      <c r="C30" s="247" t="s">
        <v>209</v>
      </c>
      <c r="D30" s="248">
        <v>125</v>
      </c>
      <c r="E30" s="248">
        <v>125</v>
      </c>
      <c r="F30" s="259">
        <v>0</v>
      </c>
    </row>
    <row r="31" spans="2:6" ht="12.5">
      <c r="B31" s="250"/>
      <c r="C31" s="247" t="s">
        <v>210</v>
      </c>
      <c r="D31" s="248">
        <v>208</v>
      </c>
      <c r="E31" s="248">
        <v>208</v>
      </c>
      <c r="F31" s="259">
        <v>0</v>
      </c>
    </row>
    <row r="32" spans="2:6" ht="12.5">
      <c r="B32" s="250"/>
      <c r="C32" s="247" t="s">
        <v>241</v>
      </c>
      <c r="D32" s="248">
        <v>170</v>
      </c>
      <c r="E32" s="248">
        <v>170</v>
      </c>
      <c r="F32" s="259">
        <v>0</v>
      </c>
    </row>
    <row r="33" spans="2:6" ht="12.5">
      <c r="B33" s="250"/>
      <c r="C33" s="247" t="s">
        <v>214</v>
      </c>
      <c r="D33" s="248">
        <v>184</v>
      </c>
      <c r="E33" s="248">
        <v>184</v>
      </c>
      <c r="F33" s="259">
        <v>0</v>
      </c>
    </row>
    <row r="34" spans="2:6" ht="12.5">
      <c r="B34" s="250"/>
      <c r="C34" s="247" t="s">
        <v>216</v>
      </c>
      <c r="D34" s="248">
        <v>181.6666666667</v>
      </c>
      <c r="E34" s="248">
        <v>184.1666666667</v>
      </c>
      <c r="F34" s="259">
        <v>2.5</v>
      </c>
    </row>
    <row r="35" spans="2:6" ht="12.5">
      <c r="B35" s="250"/>
      <c r="C35" s="247" t="s">
        <v>227</v>
      </c>
      <c r="D35" s="248">
        <v>192.5</v>
      </c>
      <c r="E35" s="248">
        <v>202.5</v>
      </c>
      <c r="F35" s="259">
        <v>10</v>
      </c>
    </row>
    <row r="36" spans="2:6" ht="12.5">
      <c r="B36" s="250"/>
      <c r="C36" s="247" t="s">
        <v>228</v>
      </c>
      <c r="D36" s="248">
        <v>185</v>
      </c>
      <c r="E36" s="248">
        <v>185</v>
      </c>
      <c r="F36" s="259">
        <v>0</v>
      </c>
    </row>
    <row r="37" spans="2:6" ht="12.5">
      <c r="B37" s="250"/>
      <c r="C37" s="247" t="s">
        <v>222</v>
      </c>
      <c r="D37" s="248">
        <v>245</v>
      </c>
      <c r="E37" s="248">
        <v>245</v>
      </c>
      <c r="F37" s="259">
        <v>0</v>
      </c>
    </row>
    <row r="38" spans="2:6" ht="12.5">
      <c r="B38" s="250"/>
      <c r="C38" s="247" t="s">
        <v>224</v>
      </c>
      <c r="D38" s="248">
        <v>182</v>
      </c>
      <c r="E38" s="248">
        <v>182</v>
      </c>
      <c r="F38" s="259">
        <v>0</v>
      </c>
    </row>
    <row r="39" spans="2:6" ht="13" thickBot="1">
      <c r="B39" s="251"/>
      <c r="C39" s="252" t="s">
        <v>225</v>
      </c>
      <c r="D39" s="253">
        <v>177</v>
      </c>
      <c r="E39" s="253">
        <v>178</v>
      </c>
      <c r="F39" s="279">
        <v>1</v>
      </c>
    </row>
    <row r="40" spans="2:6" ht="15" customHeight="1">
      <c r="F40" s="162" t="s">
        <v>68</v>
      </c>
    </row>
  </sheetData>
  <mergeCells count="5">
    <mergeCell ref="B3:F3"/>
    <mergeCell ref="B4:F4"/>
    <mergeCell ref="B5:F5"/>
    <mergeCell ref="B6:F6"/>
    <mergeCell ref="B7:F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9" firstPageNumber="0" fitToHeight="0" orientation="portrait" r:id="rId1"/>
  <headerFooter scaleWithDoc="0" alignWithMargins="0">
    <oddHeader>&amp;R&amp;"Verdana,Normal"&amp;8 11</oddHeader>
    <oddFooter>&amp;R&amp;"Verdana,Cursiva"&amp;8Subdirección General de Análisis, Coordinación y Estadística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6484-ACF8-4D6C-AB38-E02096A8719B}">
  <sheetPr>
    <pageSetUpPr fitToPage="1"/>
  </sheetPr>
  <dimension ref="A1:G22"/>
  <sheetViews>
    <sheetView showGridLines="0" zoomScaleNormal="100" zoomScaleSheetLayoutView="90" workbookViewId="0"/>
  </sheetViews>
  <sheetFormatPr baseColWidth="10" defaultColWidth="11.453125" defaultRowHeight="11.5"/>
  <cols>
    <col min="1" max="1" width="3.36328125" style="240" customWidth="1"/>
    <col min="2" max="2" width="41.08984375" style="240" customWidth="1"/>
    <col min="3" max="3" width="33.36328125" style="240" customWidth="1"/>
    <col min="4" max="6" width="22.90625" style="240" customWidth="1"/>
    <col min="7" max="7" width="4.54296875" style="240" customWidth="1"/>
    <col min="8" max="16384" width="11.453125" style="240"/>
  </cols>
  <sheetData>
    <row r="1" spans="1:7" ht="14.25" customHeight="1">
      <c r="A1" s="151"/>
      <c r="B1" s="151"/>
      <c r="C1" s="151"/>
      <c r="D1" s="151"/>
      <c r="E1" s="151"/>
      <c r="F1" s="151"/>
    </row>
    <row r="2" spans="1:7" ht="10.5" customHeight="1" thickBot="1">
      <c r="A2" s="151"/>
      <c r="B2" s="151"/>
      <c r="C2" s="151"/>
      <c r="D2" s="151"/>
      <c r="E2" s="151"/>
      <c r="F2" s="151"/>
    </row>
    <row r="3" spans="1:7" ht="20.149999999999999" customHeight="1" thickBot="1">
      <c r="A3" s="151"/>
      <c r="B3" s="703" t="s">
        <v>243</v>
      </c>
      <c r="C3" s="704"/>
      <c r="D3" s="704"/>
      <c r="E3" s="704"/>
      <c r="F3" s="705"/>
    </row>
    <row r="4" spans="1:7" ht="15.75" customHeight="1">
      <c r="A4" s="151"/>
      <c r="B4" s="4"/>
      <c r="C4" s="4"/>
      <c r="D4" s="4"/>
      <c r="E4" s="4"/>
      <c r="F4" s="4"/>
    </row>
    <row r="5" spans="1:7" ht="20.9" customHeight="1">
      <c r="A5" s="151"/>
      <c r="B5" s="706" t="s">
        <v>244</v>
      </c>
      <c r="C5" s="706"/>
      <c r="D5" s="706"/>
      <c r="E5" s="706"/>
      <c r="F5" s="706"/>
      <c r="G5" s="243"/>
    </row>
    <row r="6" spans="1:7" ht="20.149999999999999" customHeight="1">
      <c r="A6" s="151"/>
      <c r="B6" s="707" t="s">
        <v>245</v>
      </c>
      <c r="C6" s="707"/>
      <c r="D6" s="707"/>
      <c r="E6" s="707"/>
      <c r="F6" s="707"/>
      <c r="G6" s="243"/>
    </row>
    <row r="7" spans="1:7" ht="20.149999999999999" customHeight="1" thickBot="1">
      <c r="A7" s="151"/>
      <c r="B7" s="151"/>
      <c r="C7" s="151"/>
      <c r="D7" s="151"/>
      <c r="E7" s="151"/>
      <c r="F7" s="151"/>
    </row>
    <row r="8" spans="1:7" ht="39" customHeight="1" thickBot="1">
      <c r="A8" s="151"/>
      <c r="B8" s="280" t="s">
        <v>232</v>
      </c>
      <c r="C8" s="281" t="s">
        <v>184</v>
      </c>
      <c r="D8" s="245" t="s">
        <v>186</v>
      </c>
      <c r="E8" s="245" t="s">
        <v>207</v>
      </c>
      <c r="F8" s="245" t="s">
        <v>187</v>
      </c>
    </row>
    <row r="9" spans="1:7" ht="15" customHeight="1">
      <c r="A9" s="151"/>
      <c r="B9" s="282" t="s">
        <v>246</v>
      </c>
      <c r="C9" s="283" t="s">
        <v>209</v>
      </c>
      <c r="D9" s="284">
        <v>59.66</v>
      </c>
      <c r="E9" s="285">
        <v>58.386000000000003</v>
      </c>
      <c r="F9" s="286">
        <f>E9-D9</f>
        <v>-1.2739999999999938</v>
      </c>
    </row>
    <row r="10" spans="1:7" ht="15" customHeight="1">
      <c r="A10" s="151"/>
      <c r="B10" s="287"/>
      <c r="C10" s="288" t="s">
        <v>211</v>
      </c>
      <c r="D10" s="289">
        <v>52.29</v>
      </c>
      <c r="E10" s="289">
        <v>49.91</v>
      </c>
      <c r="F10" s="286">
        <f t="shared" ref="F10:F12" si="0">E10-D10</f>
        <v>-2.3800000000000026</v>
      </c>
    </row>
    <row r="11" spans="1:7" ht="15" customHeight="1">
      <c r="A11" s="151"/>
      <c r="B11" s="287"/>
      <c r="C11" s="288" t="s">
        <v>212</v>
      </c>
      <c r="D11" s="289">
        <v>49.8</v>
      </c>
      <c r="E11" s="290">
        <v>49.8</v>
      </c>
      <c r="F11" s="286">
        <f t="shared" si="0"/>
        <v>0</v>
      </c>
    </row>
    <row r="12" spans="1:7" ht="15" customHeight="1" thickBot="1">
      <c r="A12" s="151"/>
      <c r="B12" s="291"/>
      <c r="C12" s="292" t="s">
        <v>222</v>
      </c>
      <c r="D12" s="293">
        <v>47.5</v>
      </c>
      <c r="E12" s="293">
        <v>42.140999999999998</v>
      </c>
      <c r="F12" s="286">
        <f t="shared" si="0"/>
        <v>-5.3590000000000018</v>
      </c>
    </row>
    <row r="13" spans="1:7" ht="15" customHeight="1" thickBot="1">
      <c r="A13" s="151"/>
      <c r="B13" s="294" t="s">
        <v>247</v>
      </c>
      <c r="C13" s="708" t="s">
        <v>248</v>
      </c>
      <c r="D13" s="709"/>
      <c r="E13" s="709"/>
      <c r="F13" s="710"/>
    </row>
    <row r="14" spans="1:7" ht="15" customHeight="1">
      <c r="A14" s="151"/>
      <c r="B14" s="287"/>
      <c r="C14" s="283" t="s">
        <v>209</v>
      </c>
      <c r="D14" s="285">
        <v>56.41</v>
      </c>
      <c r="E14" s="285">
        <v>55.0353105895</v>
      </c>
      <c r="F14" s="286">
        <f t="shared" ref="F14:F16" si="1">E14-D14</f>
        <v>-1.3746894104999967</v>
      </c>
    </row>
    <row r="15" spans="1:7" ht="15" customHeight="1">
      <c r="A15" s="151"/>
      <c r="B15" s="287"/>
      <c r="C15" s="288" t="s">
        <v>211</v>
      </c>
      <c r="D15" s="290">
        <v>42.78</v>
      </c>
      <c r="E15" s="290">
        <v>44.92</v>
      </c>
      <c r="F15" s="286">
        <f t="shared" si="1"/>
        <v>2.1400000000000006</v>
      </c>
    </row>
    <row r="16" spans="1:7" ht="15" customHeight="1">
      <c r="A16" s="151"/>
      <c r="B16" s="287"/>
      <c r="C16" s="288" t="s">
        <v>212</v>
      </c>
      <c r="D16" s="290">
        <v>50.2</v>
      </c>
      <c r="E16" s="290">
        <v>47.351999999999997</v>
      </c>
      <c r="F16" s="286">
        <f t="shared" si="1"/>
        <v>-2.8480000000000061</v>
      </c>
    </row>
    <row r="17" spans="1:6" ht="15" customHeight="1" thickBot="1">
      <c r="A17" s="151"/>
      <c r="B17" s="291"/>
      <c r="C17" s="295" t="s">
        <v>217</v>
      </c>
      <c r="D17" s="296" t="s">
        <v>249</v>
      </c>
      <c r="E17" s="296">
        <v>49.18</v>
      </c>
      <c r="F17" s="297" t="s">
        <v>249</v>
      </c>
    </row>
    <row r="18" spans="1:6" ht="15" customHeight="1">
      <c r="A18" s="151"/>
      <c r="B18" s="151"/>
      <c r="C18" s="151"/>
      <c r="D18" s="151"/>
      <c r="E18" s="151"/>
      <c r="F18" s="162" t="s">
        <v>68</v>
      </c>
    </row>
    <row r="19" spans="1:6" ht="15" customHeight="1">
      <c r="A19" s="151"/>
    </row>
    <row r="20" spans="1:6" ht="15" customHeight="1">
      <c r="A20" s="151"/>
      <c r="F20" s="298"/>
    </row>
    <row r="21" spans="1:6" ht="15" customHeight="1">
      <c r="A21" s="151"/>
    </row>
    <row r="22" spans="1:6">
      <c r="A22" s="151"/>
    </row>
  </sheetData>
  <mergeCells count="4">
    <mergeCell ref="B3:F3"/>
    <mergeCell ref="B5:F5"/>
    <mergeCell ref="B6:F6"/>
    <mergeCell ref="C13:F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rstPageNumber="0" fitToHeight="0" orientation="portrait" r:id="rId1"/>
  <headerFooter scaleWithDoc="0" alignWithMargins="0">
    <oddHeader>&amp;R&amp;"Verdana,Normal"&amp;8 12</oddHeader>
    <oddFooter>&amp;R&amp;"Verdana,Cursiva"&amp;8Subdirección General de Análisis, Coordinación y Estadística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0730-CEA9-4ECE-89AA-E22222DC4BA8}">
  <sheetPr>
    <pageSetUpPr fitToPage="1"/>
  </sheetPr>
  <dimension ref="A1:L69"/>
  <sheetViews>
    <sheetView showGridLines="0" zoomScaleNormal="100" zoomScaleSheetLayoutView="100" workbookViewId="0"/>
  </sheetViews>
  <sheetFormatPr baseColWidth="10" defaultColWidth="15" defaultRowHeight="14.5"/>
  <cols>
    <col min="1" max="1" width="5.08984375" style="301" customWidth="1"/>
    <col min="2" max="2" width="63.453125" style="301" customWidth="1"/>
    <col min="3" max="3" width="29.36328125" style="301" customWidth="1"/>
    <col min="4" max="6" width="22.90625" style="301" customWidth="1"/>
    <col min="7" max="7" width="3.36328125" style="301" customWidth="1"/>
    <col min="8" max="9" width="13.6328125" style="302" customWidth="1"/>
    <col min="10" max="16384" width="15" style="302"/>
  </cols>
  <sheetData>
    <row r="1" spans="1:12" ht="10.5" customHeight="1">
      <c r="A1" s="299"/>
      <c r="B1" s="299"/>
      <c r="C1" s="299"/>
      <c r="D1" s="299"/>
      <c r="E1" s="299"/>
      <c r="F1" s="300"/>
    </row>
    <row r="2" spans="1:12" ht="18" customHeight="1">
      <c r="A2" s="299"/>
      <c r="B2" s="303"/>
      <c r="C2" s="303"/>
      <c r="D2" s="303"/>
      <c r="E2" s="303"/>
      <c r="F2" s="304"/>
    </row>
    <row r="3" spans="1:12" ht="14.25" customHeight="1" thickBot="1"/>
    <row r="4" spans="1:12" ht="17.25" customHeight="1" thickBot="1">
      <c r="A4" s="299"/>
      <c r="B4" s="703" t="s">
        <v>250</v>
      </c>
      <c r="C4" s="704"/>
      <c r="D4" s="704"/>
      <c r="E4" s="704"/>
      <c r="F4" s="705"/>
    </row>
    <row r="5" spans="1:12" ht="17.25" customHeight="1">
      <c r="A5" s="299"/>
      <c r="B5" s="711" t="s">
        <v>251</v>
      </c>
      <c r="C5" s="711"/>
      <c r="D5" s="711"/>
      <c r="E5" s="711"/>
      <c r="F5" s="711"/>
      <c r="G5" s="305"/>
    </row>
    <row r="6" spans="1:12">
      <c r="A6" s="299"/>
      <c r="B6" s="711" t="s">
        <v>252</v>
      </c>
      <c r="C6" s="711"/>
      <c r="D6" s="711"/>
      <c r="E6" s="711"/>
      <c r="F6" s="711"/>
      <c r="G6" s="305"/>
    </row>
    <row r="7" spans="1:12" ht="15" thickBot="1">
      <c r="A7" s="299"/>
      <c r="B7" s="306"/>
      <c r="C7" s="306"/>
      <c r="D7" s="306"/>
      <c r="E7" s="306"/>
      <c r="F7" s="299"/>
    </row>
    <row r="8" spans="1:12" ht="44.9" customHeight="1" thickBot="1">
      <c r="A8" s="299"/>
      <c r="B8" s="244" t="s">
        <v>253</v>
      </c>
      <c r="C8" s="307" t="s">
        <v>184</v>
      </c>
      <c r="D8" s="245" t="s">
        <v>186</v>
      </c>
      <c r="E8" s="245" t="s">
        <v>207</v>
      </c>
      <c r="F8" s="245" t="s">
        <v>187</v>
      </c>
    </row>
    <row r="9" spans="1:12">
      <c r="A9" s="299"/>
      <c r="B9" s="308" t="s">
        <v>254</v>
      </c>
      <c r="C9" s="309" t="s">
        <v>209</v>
      </c>
      <c r="D9" s="285">
        <v>420</v>
      </c>
      <c r="E9" s="285">
        <v>400</v>
      </c>
      <c r="F9" s="310">
        <v>-20</v>
      </c>
    </row>
    <row r="10" spans="1:12">
      <c r="A10" s="299"/>
      <c r="B10" s="311" t="s">
        <v>255</v>
      </c>
      <c r="C10" s="312" t="s">
        <v>256</v>
      </c>
      <c r="D10" s="290">
        <v>460</v>
      </c>
      <c r="E10" s="290">
        <v>425</v>
      </c>
      <c r="F10" s="310">
        <v>-35</v>
      </c>
    </row>
    <row r="11" spans="1:12">
      <c r="A11" s="299"/>
      <c r="B11" s="311"/>
      <c r="C11" s="312" t="s">
        <v>257</v>
      </c>
      <c r="D11" s="290">
        <v>463</v>
      </c>
      <c r="E11" s="290">
        <v>422</v>
      </c>
      <c r="F11" s="310">
        <v>-41</v>
      </c>
    </row>
    <row r="12" spans="1:12">
      <c r="A12" s="299"/>
      <c r="B12" s="311"/>
      <c r="C12" s="312" t="s">
        <v>234</v>
      </c>
      <c r="D12" s="290">
        <v>475</v>
      </c>
      <c r="E12" s="290">
        <v>475</v>
      </c>
      <c r="F12" s="310">
        <v>0</v>
      </c>
    </row>
    <row r="13" spans="1:12">
      <c r="A13" s="299"/>
      <c r="B13" s="311"/>
      <c r="C13" s="312" t="s">
        <v>211</v>
      </c>
      <c r="D13" s="290">
        <v>429</v>
      </c>
      <c r="E13" s="290">
        <v>420</v>
      </c>
      <c r="F13" s="310">
        <v>-9</v>
      </c>
    </row>
    <row r="14" spans="1:12">
      <c r="A14" s="299"/>
      <c r="B14" s="311"/>
      <c r="C14" s="312" t="s">
        <v>241</v>
      </c>
      <c r="D14" s="290">
        <v>476</v>
      </c>
      <c r="E14" s="290">
        <v>503.5</v>
      </c>
      <c r="F14" s="310">
        <v>27.5</v>
      </c>
    </row>
    <row r="15" spans="1:12">
      <c r="A15" s="299"/>
      <c r="B15" s="311"/>
      <c r="C15" s="312" t="s">
        <v>212</v>
      </c>
      <c r="D15" s="290">
        <v>442</v>
      </c>
      <c r="E15" s="290">
        <v>432</v>
      </c>
      <c r="F15" s="310">
        <v>-10</v>
      </c>
      <c r="L15" s="313"/>
    </row>
    <row r="16" spans="1:12">
      <c r="A16" s="299"/>
      <c r="B16" s="311"/>
      <c r="C16" s="312" t="s">
        <v>258</v>
      </c>
      <c r="D16" s="290">
        <v>441.5</v>
      </c>
      <c r="E16" s="290">
        <v>440.5</v>
      </c>
      <c r="F16" s="310">
        <v>-1</v>
      </c>
    </row>
    <row r="17" spans="1:6">
      <c r="A17" s="299"/>
      <c r="B17" s="311"/>
      <c r="C17" s="312" t="s">
        <v>259</v>
      </c>
      <c r="D17" s="290">
        <v>431</v>
      </c>
      <c r="E17" s="290">
        <v>431</v>
      </c>
      <c r="F17" s="310">
        <v>0</v>
      </c>
    </row>
    <row r="18" spans="1:6">
      <c r="A18" s="299"/>
      <c r="B18" s="311"/>
      <c r="C18" s="312" t="s">
        <v>260</v>
      </c>
      <c r="D18" s="290">
        <v>438</v>
      </c>
      <c r="E18" s="290">
        <v>440</v>
      </c>
      <c r="F18" s="310">
        <v>2</v>
      </c>
    </row>
    <row r="19" spans="1:6">
      <c r="A19" s="299"/>
      <c r="B19" s="311"/>
      <c r="C19" s="312" t="s">
        <v>261</v>
      </c>
      <c r="D19" s="290">
        <v>481</v>
      </c>
      <c r="E19" s="290">
        <v>481</v>
      </c>
      <c r="F19" s="310">
        <v>0</v>
      </c>
    </row>
    <row r="20" spans="1:6">
      <c r="A20" s="299"/>
      <c r="B20" s="311"/>
      <c r="C20" s="312" t="s">
        <v>217</v>
      </c>
      <c r="D20" s="290">
        <v>415</v>
      </c>
      <c r="E20" s="290">
        <v>411</v>
      </c>
      <c r="F20" s="310">
        <v>-4</v>
      </c>
    </row>
    <row r="21" spans="1:6">
      <c r="A21" s="299"/>
      <c r="B21" s="311"/>
      <c r="C21" s="312" t="s">
        <v>228</v>
      </c>
      <c r="D21" s="290">
        <v>439</v>
      </c>
      <c r="E21" s="290">
        <v>439</v>
      </c>
      <c r="F21" s="310">
        <v>0</v>
      </c>
    </row>
    <row r="22" spans="1:6">
      <c r="A22" s="299"/>
      <c r="B22" s="311"/>
      <c r="C22" s="312" t="s">
        <v>237</v>
      </c>
      <c r="D22" s="290">
        <v>440</v>
      </c>
      <c r="E22" s="290">
        <v>440</v>
      </c>
      <c r="F22" s="310">
        <v>0</v>
      </c>
    </row>
    <row r="23" spans="1:6">
      <c r="A23" s="299"/>
      <c r="B23" s="311"/>
      <c r="C23" s="312" t="s">
        <v>222</v>
      </c>
      <c r="D23" s="290">
        <v>428</v>
      </c>
      <c r="E23" s="290">
        <v>423</v>
      </c>
      <c r="F23" s="310">
        <v>-5</v>
      </c>
    </row>
    <row r="24" spans="1:6" ht="15" thickBot="1">
      <c r="A24" s="299"/>
      <c r="B24" s="314"/>
      <c r="C24" s="315" t="s">
        <v>225</v>
      </c>
      <c r="D24" s="316">
        <v>415</v>
      </c>
      <c r="E24" s="316">
        <v>415</v>
      </c>
      <c r="F24" s="317">
        <v>0</v>
      </c>
    </row>
    <row r="25" spans="1:6">
      <c r="A25" s="299"/>
      <c r="B25" s="311" t="s">
        <v>262</v>
      </c>
      <c r="C25" s="312" t="s">
        <v>209</v>
      </c>
      <c r="D25" s="318">
        <v>380</v>
      </c>
      <c r="E25" s="318">
        <v>385</v>
      </c>
      <c r="F25" s="310">
        <v>5</v>
      </c>
    </row>
    <row r="26" spans="1:6">
      <c r="A26" s="299"/>
      <c r="B26" s="311" t="s">
        <v>263</v>
      </c>
      <c r="C26" s="312" t="s">
        <v>256</v>
      </c>
      <c r="D26" s="290">
        <v>400</v>
      </c>
      <c r="E26" s="290">
        <v>400</v>
      </c>
      <c r="F26" s="310">
        <v>0</v>
      </c>
    </row>
    <row r="27" spans="1:6">
      <c r="A27" s="299"/>
      <c r="B27" s="311"/>
      <c r="C27" s="312" t="s">
        <v>234</v>
      </c>
      <c r="D27" s="290">
        <v>370</v>
      </c>
      <c r="E27" s="290">
        <v>370</v>
      </c>
      <c r="F27" s="310">
        <v>0</v>
      </c>
    </row>
    <row r="28" spans="1:6">
      <c r="A28" s="299"/>
      <c r="B28" s="311"/>
      <c r="C28" s="312" t="s">
        <v>211</v>
      </c>
      <c r="D28" s="290">
        <v>384</v>
      </c>
      <c r="E28" s="290">
        <v>370</v>
      </c>
      <c r="F28" s="310">
        <v>-14</v>
      </c>
    </row>
    <row r="29" spans="1:6">
      <c r="A29" s="299"/>
      <c r="B29" s="311"/>
      <c r="C29" s="312" t="s">
        <v>241</v>
      </c>
      <c r="D29" s="290">
        <v>383.5</v>
      </c>
      <c r="E29" s="290">
        <v>381</v>
      </c>
      <c r="F29" s="310">
        <v>-2.5</v>
      </c>
    </row>
    <row r="30" spans="1:6">
      <c r="A30" s="299"/>
      <c r="B30" s="311"/>
      <c r="C30" s="312" t="s">
        <v>212</v>
      </c>
      <c r="D30" s="290">
        <v>387</v>
      </c>
      <c r="E30" s="290">
        <v>379.5</v>
      </c>
      <c r="F30" s="310">
        <v>-7.5</v>
      </c>
    </row>
    <row r="31" spans="1:6">
      <c r="A31" s="299"/>
      <c r="B31" s="311"/>
      <c r="C31" s="312" t="s">
        <v>258</v>
      </c>
      <c r="D31" s="290">
        <v>378</v>
      </c>
      <c r="E31" s="290">
        <v>378</v>
      </c>
      <c r="F31" s="310">
        <v>0</v>
      </c>
    </row>
    <row r="32" spans="1:6">
      <c r="A32" s="299"/>
      <c r="B32" s="311"/>
      <c r="C32" s="312" t="s">
        <v>260</v>
      </c>
      <c r="D32" s="290">
        <v>391.5</v>
      </c>
      <c r="E32" s="290">
        <v>391.5</v>
      </c>
      <c r="F32" s="310">
        <v>0</v>
      </c>
    </row>
    <row r="33" spans="1:7">
      <c r="A33" s="299"/>
      <c r="B33" s="311"/>
      <c r="C33" s="312" t="s">
        <v>261</v>
      </c>
      <c r="D33" s="290">
        <v>382.5</v>
      </c>
      <c r="E33" s="290">
        <v>382.5</v>
      </c>
      <c r="F33" s="310">
        <v>0</v>
      </c>
    </row>
    <row r="34" spans="1:7">
      <c r="A34" s="299"/>
      <c r="B34" s="311"/>
      <c r="C34" s="312" t="s">
        <v>217</v>
      </c>
      <c r="D34" s="290">
        <v>380</v>
      </c>
      <c r="E34" s="290">
        <v>372</v>
      </c>
      <c r="F34" s="310">
        <v>-8</v>
      </c>
    </row>
    <row r="35" spans="1:7">
      <c r="A35" s="299"/>
      <c r="B35" s="311"/>
      <c r="C35" s="312" t="s">
        <v>228</v>
      </c>
      <c r="D35" s="290">
        <v>386.5</v>
      </c>
      <c r="E35" s="290">
        <v>386.5</v>
      </c>
      <c r="F35" s="310">
        <v>0</v>
      </c>
    </row>
    <row r="36" spans="1:7">
      <c r="A36" s="299"/>
      <c r="B36" s="311"/>
      <c r="C36" s="312" t="s">
        <v>237</v>
      </c>
      <c r="D36" s="290">
        <v>387.5</v>
      </c>
      <c r="E36" s="290">
        <v>387.5</v>
      </c>
      <c r="F36" s="310">
        <v>0</v>
      </c>
    </row>
    <row r="37" spans="1:7">
      <c r="A37" s="299"/>
      <c r="B37" s="311"/>
      <c r="C37" s="312" t="s">
        <v>222</v>
      </c>
      <c r="D37" s="290">
        <v>383</v>
      </c>
      <c r="E37" s="290">
        <v>371</v>
      </c>
      <c r="F37" s="310">
        <v>-12</v>
      </c>
    </row>
    <row r="38" spans="1:7" ht="15" thickBot="1">
      <c r="A38" s="299"/>
      <c r="B38" s="314"/>
      <c r="C38" s="312" t="s">
        <v>225</v>
      </c>
      <c r="D38" s="316">
        <v>360</v>
      </c>
      <c r="E38" s="316">
        <v>360</v>
      </c>
      <c r="F38" s="319">
        <v>0</v>
      </c>
    </row>
    <row r="39" spans="1:7">
      <c r="A39" s="299"/>
      <c r="B39" s="311" t="s">
        <v>264</v>
      </c>
      <c r="C39" s="309" t="s">
        <v>209</v>
      </c>
      <c r="D39" s="318">
        <v>375</v>
      </c>
      <c r="E39" s="318">
        <v>370</v>
      </c>
      <c r="F39" s="310">
        <v>-5</v>
      </c>
    </row>
    <row r="40" spans="1:7">
      <c r="A40" s="299"/>
      <c r="B40" s="311"/>
      <c r="C40" s="312" t="s">
        <v>234</v>
      </c>
      <c r="D40" s="290">
        <v>310</v>
      </c>
      <c r="E40" s="290">
        <v>310</v>
      </c>
      <c r="F40" s="310">
        <v>0</v>
      </c>
      <c r="G40" s="302"/>
    </row>
    <row r="41" spans="1:7">
      <c r="A41" s="299"/>
      <c r="B41" s="311"/>
      <c r="C41" s="312" t="s">
        <v>211</v>
      </c>
      <c r="D41" s="290">
        <v>340</v>
      </c>
      <c r="E41" s="290">
        <v>339</v>
      </c>
      <c r="F41" s="310">
        <v>-1</v>
      </c>
      <c r="G41" s="302"/>
    </row>
    <row r="42" spans="1:7">
      <c r="A42" s="299"/>
      <c r="B42" s="311"/>
      <c r="C42" s="312" t="s">
        <v>241</v>
      </c>
      <c r="D42" s="290">
        <v>354.5</v>
      </c>
      <c r="E42" s="290">
        <v>351.5</v>
      </c>
      <c r="F42" s="310">
        <v>-3</v>
      </c>
      <c r="G42" s="302"/>
    </row>
    <row r="43" spans="1:7">
      <c r="A43" s="299"/>
      <c r="B43" s="311"/>
      <c r="C43" s="312" t="s">
        <v>212</v>
      </c>
      <c r="D43" s="290">
        <v>360</v>
      </c>
      <c r="E43" s="290">
        <v>357</v>
      </c>
      <c r="F43" s="310">
        <v>-3</v>
      </c>
      <c r="G43" s="302"/>
    </row>
    <row r="44" spans="1:7">
      <c r="A44" s="299"/>
      <c r="B44" s="311"/>
      <c r="C44" s="312" t="s">
        <v>258</v>
      </c>
      <c r="D44" s="290">
        <v>352.5</v>
      </c>
      <c r="E44" s="290">
        <v>352.5</v>
      </c>
      <c r="F44" s="310">
        <v>0</v>
      </c>
      <c r="G44" s="302"/>
    </row>
    <row r="45" spans="1:7">
      <c r="A45" s="299"/>
      <c r="B45" s="311"/>
      <c r="C45" s="312" t="s">
        <v>260</v>
      </c>
      <c r="D45" s="290">
        <v>369</v>
      </c>
      <c r="E45" s="290">
        <v>372</v>
      </c>
      <c r="F45" s="310">
        <v>3</v>
      </c>
      <c r="G45" s="302"/>
    </row>
    <row r="46" spans="1:7">
      <c r="A46" s="299"/>
      <c r="B46" s="311"/>
      <c r="C46" s="312" t="s">
        <v>261</v>
      </c>
      <c r="D46" s="290">
        <v>349.5</v>
      </c>
      <c r="E46" s="290">
        <v>349.5</v>
      </c>
      <c r="F46" s="310">
        <v>0</v>
      </c>
      <c r="G46" s="302"/>
    </row>
    <row r="47" spans="1:7">
      <c r="A47" s="299"/>
      <c r="B47" s="311"/>
      <c r="C47" s="312" t="s">
        <v>217</v>
      </c>
      <c r="D47" s="290">
        <v>370</v>
      </c>
      <c r="E47" s="290">
        <v>361</v>
      </c>
      <c r="F47" s="310">
        <v>-9</v>
      </c>
      <c r="G47" s="302"/>
    </row>
    <row r="48" spans="1:7">
      <c r="A48" s="299"/>
      <c r="B48" s="311"/>
      <c r="C48" s="312" t="s">
        <v>228</v>
      </c>
      <c r="D48" s="290">
        <v>341.5</v>
      </c>
      <c r="E48" s="290">
        <v>341.5</v>
      </c>
      <c r="F48" s="310">
        <v>0</v>
      </c>
      <c r="G48" s="302"/>
    </row>
    <row r="49" spans="1:7">
      <c r="A49" s="299"/>
      <c r="B49" s="311"/>
      <c r="C49" s="312" t="s">
        <v>237</v>
      </c>
      <c r="D49" s="290">
        <v>322.5</v>
      </c>
      <c r="E49" s="290">
        <v>320</v>
      </c>
      <c r="F49" s="310">
        <v>-2.5</v>
      </c>
      <c r="G49" s="302"/>
    </row>
    <row r="50" spans="1:7">
      <c r="A50" s="299"/>
      <c r="B50" s="311"/>
      <c r="C50" s="312" t="s">
        <v>222</v>
      </c>
      <c r="D50" s="290">
        <v>358</v>
      </c>
      <c r="E50" s="290">
        <v>354</v>
      </c>
      <c r="F50" s="310">
        <v>-4</v>
      </c>
      <c r="G50" s="302"/>
    </row>
    <row r="51" spans="1:7" ht="15" thickBot="1">
      <c r="A51" s="299"/>
      <c r="B51" s="314"/>
      <c r="C51" s="315" t="s">
        <v>225</v>
      </c>
      <c r="D51" s="316">
        <v>340</v>
      </c>
      <c r="E51" s="316">
        <v>340</v>
      </c>
      <c r="F51" s="319">
        <v>0</v>
      </c>
      <c r="G51" s="302"/>
    </row>
    <row r="52" spans="1:7">
      <c r="A52" s="299"/>
      <c r="B52" s="308" t="s">
        <v>265</v>
      </c>
      <c r="C52" s="309" t="s">
        <v>241</v>
      </c>
      <c r="D52" s="318">
        <v>356.5</v>
      </c>
      <c r="E52" s="318">
        <v>356.5</v>
      </c>
      <c r="F52" s="310">
        <v>0</v>
      </c>
      <c r="G52" s="302"/>
    </row>
    <row r="53" spans="1:7">
      <c r="A53" s="299"/>
      <c r="B53" s="311"/>
      <c r="C53" s="312" t="s">
        <v>260</v>
      </c>
      <c r="D53" s="290">
        <v>356.5</v>
      </c>
      <c r="E53" s="290">
        <v>356.5</v>
      </c>
      <c r="F53" s="310">
        <v>0</v>
      </c>
      <c r="G53" s="302"/>
    </row>
    <row r="54" spans="1:7">
      <c r="A54" s="299"/>
      <c r="B54" s="311"/>
      <c r="C54" s="312" t="s">
        <v>228</v>
      </c>
      <c r="D54" s="290">
        <v>349.5</v>
      </c>
      <c r="E54" s="290">
        <v>349.5</v>
      </c>
      <c r="F54" s="310">
        <v>0</v>
      </c>
      <c r="G54" s="302"/>
    </row>
    <row r="55" spans="1:7" ht="15" thickBot="1">
      <c r="A55" s="299"/>
      <c r="B55" s="314"/>
      <c r="C55" s="315" t="s">
        <v>237</v>
      </c>
      <c r="D55" s="316">
        <v>362.5</v>
      </c>
      <c r="E55" s="316">
        <v>362.5</v>
      </c>
      <c r="F55" s="319">
        <v>0</v>
      </c>
      <c r="G55" s="302"/>
    </row>
    <row r="56" spans="1:7">
      <c r="A56" s="299"/>
      <c r="B56" s="311" t="s">
        <v>266</v>
      </c>
      <c r="C56" s="320" t="s">
        <v>241</v>
      </c>
      <c r="D56" s="290">
        <v>137.5</v>
      </c>
      <c r="E56" s="290">
        <v>137.5</v>
      </c>
      <c r="F56" s="310">
        <v>0</v>
      </c>
      <c r="G56" s="302"/>
    </row>
    <row r="57" spans="1:7">
      <c r="A57" s="299"/>
      <c r="B57" s="311"/>
      <c r="C57" s="320" t="s">
        <v>260</v>
      </c>
      <c r="D57" s="290">
        <v>141</v>
      </c>
      <c r="E57" s="290">
        <v>141</v>
      </c>
      <c r="F57" s="310">
        <v>0</v>
      </c>
      <c r="G57" s="302"/>
    </row>
    <row r="58" spans="1:7">
      <c r="A58" s="299"/>
      <c r="B58" s="311"/>
      <c r="C58" s="320" t="s">
        <v>261</v>
      </c>
      <c r="D58" s="321">
        <v>117</v>
      </c>
      <c r="E58" s="321">
        <v>117</v>
      </c>
      <c r="F58" s="310">
        <v>0</v>
      </c>
      <c r="G58" s="302"/>
    </row>
    <row r="59" spans="1:7">
      <c r="A59" s="299"/>
      <c r="B59" s="311"/>
      <c r="C59" s="320" t="s">
        <v>228</v>
      </c>
      <c r="D59" s="290">
        <v>142</v>
      </c>
      <c r="E59" s="290">
        <v>142</v>
      </c>
      <c r="F59" s="310">
        <v>0</v>
      </c>
      <c r="G59" s="302"/>
    </row>
    <row r="60" spans="1:7">
      <c r="A60" s="299"/>
      <c r="B60" s="311"/>
      <c r="C60" s="320" t="s">
        <v>237</v>
      </c>
      <c r="D60" s="290">
        <v>135</v>
      </c>
      <c r="E60" s="290">
        <v>135</v>
      </c>
      <c r="F60" s="310">
        <v>0</v>
      </c>
      <c r="G60" s="302"/>
    </row>
    <row r="61" spans="1:7" ht="15" thickBot="1">
      <c r="A61" s="299"/>
      <c r="B61" s="322"/>
      <c r="C61" s="323" t="s">
        <v>222</v>
      </c>
      <c r="D61" s="290">
        <v>140</v>
      </c>
      <c r="E61" s="290">
        <v>140</v>
      </c>
      <c r="F61" s="319">
        <v>0</v>
      </c>
      <c r="G61" s="302"/>
    </row>
    <row r="62" spans="1:7" ht="15" thickBot="1">
      <c r="A62" s="299"/>
      <c r="B62" s="324" t="s">
        <v>267</v>
      </c>
      <c r="C62" s="315" t="s">
        <v>228</v>
      </c>
      <c r="D62" s="325">
        <v>211</v>
      </c>
      <c r="E62" s="325">
        <v>211</v>
      </c>
      <c r="F62" s="319">
        <v>0</v>
      </c>
      <c r="G62" s="302"/>
    </row>
    <row r="63" spans="1:7">
      <c r="A63" s="299"/>
      <c r="B63" s="326" t="s">
        <v>268</v>
      </c>
      <c r="C63" s="327" t="s">
        <v>269</v>
      </c>
      <c r="D63" s="290">
        <v>537.63</v>
      </c>
      <c r="E63" s="290">
        <v>537.63</v>
      </c>
      <c r="F63" s="310">
        <v>0</v>
      </c>
      <c r="G63" s="302"/>
    </row>
    <row r="64" spans="1:7">
      <c r="A64" s="299"/>
      <c r="B64" s="326" t="s">
        <v>270</v>
      </c>
      <c r="C64" s="328" t="s">
        <v>271</v>
      </c>
      <c r="D64" s="290">
        <v>534.34</v>
      </c>
      <c r="E64" s="290">
        <v>534.34</v>
      </c>
      <c r="F64" s="310">
        <v>0</v>
      </c>
      <c r="G64" s="302"/>
    </row>
    <row r="65" spans="1:7" ht="15" thickBot="1">
      <c r="B65" s="329"/>
      <c r="C65" s="330" t="s">
        <v>272</v>
      </c>
      <c r="D65" s="293">
        <v>558.69000000000005</v>
      </c>
      <c r="E65" s="293">
        <v>558.69000000000005</v>
      </c>
      <c r="F65" s="319">
        <v>0</v>
      </c>
      <c r="G65" s="302"/>
    </row>
    <row r="66" spans="1:7">
      <c r="A66" s="299"/>
      <c r="B66" s="331" t="s">
        <v>268</v>
      </c>
      <c r="C66" s="327" t="s">
        <v>269</v>
      </c>
      <c r="D66" s="290">
        <v>452.95</v>
      </c>
      <c r="E66" s="290">
        <v>452.95</v>
      </c>
      <c r="F66" s="310">
        <v>0</v>
      </c>
      <c r="G66" s="302"/>
    </row>
    <row r="67" spans="1:7">
      <c r="A67" s="299"/>
      <c r="B67" s="326" t="s">
        <v>273</v>
      </c>
      <c r="C67" s="328" t="s">
        <v>271</v>
      </c>
      <c r="D67" s="290">
        <v>438.94</v>
      </c>
      <c r="E67" s="290">
        <v>438.94</v>
      </c>
      <c r="F67" s="310">
        <v>0</v>
      </c>
      <c r="G67" s="302"/>
    </row>
    <row r="68" spans="1:7" ht="15" thickBot="1">
      <c r="B68" s="329"/>
      <c r="C68" s="330" t="s">
        <v>272</v>
      </c>
      <c r="D68" s="293">
        <v>471.47</v>
      </c>
      <c r="E68" s="293">
        <v>471.47</v>
      </c>
      <c r="F68" s="319">
        <v>0</v>
      </c>
      <c r="G68" s="302"/>
    </row>
    <row r="69" spans="1:7">
      <c r="F69" s="162" t="s">
        <v>68</v>
      </c>
      <c r="G69" s="302"/>
    </row>
  </sheetData>
  <mergeCells count="3">
    <mergeCell ref="B4:F4"/>
    <mergeCell ref="B5:F5"/>
    <mergeCell ref="B6:F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1" orientation="portrait" r:id="rId1"/>
  <headerFooter scaleWithDoc="0" alignWithMargins="0">
    <oddHeader>&amp;R&amp;"Verdana,Normal"&amp;8 13</oddHeader>
    <oddFooter>&amp;R&amp;"Verdana,Cursiva"&amp;8Subdirección General de Análisis, Coordinación y Estadística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FC578-42DB-4326-AE65-96A203AC83B5}">
  <sheetPr>
    <pageSetUpPr fitToPage="1"/>
  </sheetPr>
  <dimension ref="A1:Q82"/>
  <sheetViews>
    <sheetView showGridLines="0" zoomScaleNormal="100" zoomScaleSheetLayoutView="100" workbookViewId="0"/>
  </sheetViews>
  <sheetFormatPr baseColWidth="10" defaultColWidth="14.453125" defaultRowHeight="14"/>
  <cols>
    <col min="1" max="1" width="3" style="332" customWidth="1"/>
    <col min="2" max="2" width="23.54296875" style="333" customWidth="1"/>
    <col min="3" max="3" width="13.54296875" style="333" customWidth="1"/>
    <col min="4" max="4" width="40.453125" style="333" customWidth="1"/>
    <col min="5" max="5" width="9.54296875" style="333" customWidth="1"/>
    <col min="6" max="6" width="30.54296875" style="333" customWidth="1"/>
    <col min="7" max="13" width="12.453125" style="333" customWidth="1"/>
    <col min="14" max="14" width="16.54296875" style="333" customWidth="1"/>
    <col min="15" max="15" width="2.54296875" style="334" customWidth="1"/>
    <col min="16" max="16" width="14.453125" style="334" customWidth="1"/>
    <col min="17" max="16384" width="14.453125" style="334"/>
  </cols>
  <sheetData>
    <row r="1" spans="1:17" ht="11.25" customHeight="1"/>
    <row r="2" spans="1:17">
      <c r="J2" s="335"/>
      <c r="K2" s="335"/>
      <c r="L2" s="336"/>
      <c r="M2" s="336"/>
      <c r="N2" s="337"/>
      <c r="O2" s="338"/>
    </row>
    <row r="3" spans="1:17" ht="0.75" customHeight="1">
      <c r="J3" s="335"/>
      <c r="K3" s="335"/>
      <c r="L3" s="336"/>
      <c r="M3" s="336"/>
      <c r="N3" s="336"/>
      <c r="O3" s="338"/>
    </row>
    <row r="4" spans="1:17" ht="27" customHeight="1">
      <c r="B4" s="712" t="s">
        <v>274</v>
      </c>
      <c r="C4" s="712"/>
      <c r="D4" s="712"/>
      <c r="E4" s="712"/>
      <c r="F4" s="712"/>
      <c r="G4" s="712"/>
      <c r="H4" s="712"/>
      <c r="I4" s="712"/>
      <c r="J4" s="712"/>
      <c r="K4" s="712"/>
      <c r="L4" s="712"/>
      <c r="M4" s="712"/>
      <c r="N4" s="712"/>
      <c r="O4" s="339"/>
    </row>
    <row r="5" spans="1:17" ht="26.25" customHeight="1" thickBot="1">
      <c r="B5" s="713" t="s">
        <v>275</v>
      </c>
      <c r="C5" s="713"/>
      <c r="D5" s="713"/>
      <c r="E5" s="713"/>
      <c r="F5" s="713"/>
      <c r="G5" s="713"/>
      <c r="H5" s="713"/>
      <c r="I5" s="713"/>
      <c r="J5" s="713"/>
      <c r="K5" s="713"/>
      <c r="L5" s="713"/>
      <c r="M5" s="713"/>
      <c r="N5" s="713"/>
      <c r="O5" s="341"/>
    </row>
    <row r="6" spans="1:17" ht="24.75" customHeight="1">
      <c r="B6" s="714" t="s">
        <v>276</v>
      </c>
      <c r="C6" s="715"/>
      <c r="D6" s="715"/>
      <c r="E6" s="715"/>
      <c r="F6" s="715"/>
      <c r="G6" s="715"/>
      <c r="H6" s="715"/>
      <c r="I6" s="715"/>
      <c r="J6" s="715"/>
      <c r="K6" s="715"/>
      <c r="L6" s="715"/>
      <c r="M6" s="715"/>
      <c r="N6" s="716"/>
      <c r="O6" s="341"/>
    </row>
    <row r="7" spans="1:17" ht="19.5" customHeight="1" thickBot="1">
      <c r="B7" s="717" t="s">
        <v>277</v>
      </c>
      <c r="C7" s="718"/>
      <c r="D7" s="718"/>
      <c r="E7" s="718"/>
      <c r="F7" s="718"/>
      <c r="G7" s="718"/>
      <c r="H7" s="718"/>
      <c r="I7" s="718"/>
      <c r="J7" s="718"/>
      <c r="K7" s="718"/>
      <c r="L7" s="718"/>
      <c r="M7" s="718"/>
      <c r="N7" s="719"/>
      <c r="O7" s="341"/>
    </row>
    <row r="8" spans="1:17" ht="16.5" customHeight="1">
      <c r="B8" s="720" t="s">
        <v>278</v>
      </c>
      <c r="C8" s="720"/>
      <c r="D8" s="720"/>
      <c r="E8" s="720"/>
      <c r="F8" s="720"/>
      <c r="G8" s="720"/>
      <c r="H8" s="720"/>
      <c r="I8" s="720"/>
      <c r="J8" s="720"/>
      <c r="K8" s="720"/>
      <c r="L8" s="720"/>
      <c r="M8" s="720"/>
      <c r="N8" s="720"/>
      <c r="O8" s="341"/>
    </row>
    <row r="9" spans="1:17" ht="24.75" customHeight="1">
      <c r="B9" s="343" t="s">
        <v>279</v>
      </c>
      <c r="C9" s="343"/>
      <c r="D9" s="343"/>
      <c r="E9" s="343"/>
      <c r="F9" s="343"/>
      <c r="G9" s="343"/>
      <c r="H9" s="343"/>
      <c r="I9" s="343"/>
      <c r="J9" s="343"/>
      <c r="K9" s="343"/>
      <c r="L9" s="343"/>
      <c r="M9" s="343"/>
      <c r="N9" s="343"/>
      <c r="O9" s="341"/>
    </row>
    <row r="10" spans="1:17" ht="6" customHeight="1" thickBot="1">
      <c r="B10" s="344"/>
      <c r="C10" s="344"/>
      <c r="D10" s="344"/>
      <c r="E10" s="344"/>
      <c r="F10" s="344"/>
      <c r="G10" s="344"/>
      <c r="H10" s="344"/>
      <c r="I10" s="344"/>
      <c r="J10" s="344"/>
      <c r="K10" s="344"/>
      <c r="L10" s="344"/>
      <c r="M10" s="344"/>
      <c r="N10" s="344"/>
      <c r="O10" s="345"/>
    </row>
    <row r="11" spans="1:17" ht="26.15" customHeight="1">
      <c r="B11" s="346" t="s">
        <v>232</v>
      </c>
      <c r="C11" s="347" t="s">
        <v>280</v>
      </c>
      <c r="D11" s="348" t="s">
        <v>281</v>
      </c>
      <c r="E11" s="347" t="s">
        <v>282</v>
      </c>
      <c r="F11" s="348" t="s">
        <v>283</v>
      </c>
      <c r="G11" s="349" t="s">
        <v>284</v>
      </c>
      <c r="H11" s="350"/>
      <c r="I11" s="351"/>
      <c r="J11" s="350" t="s">
        <v>285</v>
      </c>
      <c r="K11" s="350"/>
      <c r="L11" s="352"/>
      <c r="M11" s="352"/>
      <c r="N11" s="353"/>
      <c r="O11" s="354"/>
      <c r="Q11" s="333"/>
    </row>
    <row r="12" spans="1:17" ht="20.149999999999999" customHeight="1">
      <c r="B12" s="355"/>
      <c r="C12" s="356"/>
      <c r="D12" s="357" t="s">
        <v>286</v>
      </c>
      <c r="E12" s="356"/>
      <c r="F12" s="357"/>
      <c r="G12" s="358">
        <v>46027</v>
      </c>
      <c r="H12" s="358">
        <v>46028</v>
      </c>
      <c r="I12" s="358">
        <v>46029</v>
      </c>
      <c r="J12" s="358">
        <v>46030</v>
      </c>
      <c r="K12" s="358">
        <v>46031</v>
      </c>
      <c r="L12" s="358">
        <v>46032</v>
      </c>
      <c r="M12" s="358">
        <v>46033</v>
      </c>
      <c r="N12" s="359" t="s">
        <v>287</v>
      </c>
      <c r="O12" s="360"/>
    </row>
    <row r="13" spans="1:17" s="369" customFormat="1" ht="20.25" customHeight="1">
      <c r="A13" s="332"/>
      <c r="B13" s="361" t="s">
        <v>288</v>
      </c>
      <c r="C13" s="362" t="s">
        <v>289</v>
      </c>
      <c r="D13" s="363" t="s">
        <v>290</v>
      </c>
      <c r="E13" s="363" t="s">
        <v>291</v>
      </c>
      <c r="F13" s="363" t="s">
        <v>292</v>
      </c>
      <c r="G13" s="364">
        <v>91.07</v>
      </c>
      <c r="H13" s="364" t="s">
        <v>249</v>
      </c>
      <c r="I13" s="364">
        <v>91.07</v>
      </c>
      <c r="J13" s="364">
        <v>91.07</v>
      </c>
      <c r="K13" s="365">
        <v>91.07</v>
      </c>
      <c r="L13" s="365" t="s">
        <v>249</v>
      </c>
      <c r="M13" s="366" t="s">
        <v>249</v>
      </c>
      <c r="N13" s="367">
        <v>91.07</v>
      </c>
      <c r="O13" s="368"/>
    </row>
    <row r="14" spans="1:17" s="369" customFormat="1" ht="20.25" customHeight="1">
      <c r="A14" s="332"/>
      <c r="B14" s="370"/>
      <c r="C14" s="362" t="s">
        <v>293</v>
      </c>
      <c r="D14" s="363" t="s">
        <v>294</v>
      </c>
      <c r="E14" s="363" t="s">
        <v>291</v>
      </c>
      <c r="F14" s="363" t="s">
        <v>292</v>
      </c>
      <c r="G14" s="364" t="s">
        <v>249</v>
      </c>
      <c r="H14" s="364" t="s">
        <v>249</v>
      </c>
      <c r="I14" s="364">
        <v>93.33</v>
      </c>
      <c r="J14" s="364" t="s">
        <v>249</v>
      </c>
      <c r="K14" s="365" t="s">
        <v>249</v>
      </c>
      <c r="L14" s="365" t="s">
        <v>249</v>
      </c>
      <c r="M14" s="366" t="s">
        <v>249</v>
      </c>
      <c r="N14" s="367">
        <v>93.33</v>
      </c>
      <c r="O14" s="368"/>
    </row>
    <row r="15" spans="1:17" s="369" customFormat="1" ht="20.25" customHeight="1">
      <c r="A15" s="332"/>
      <c r="B15" s="370"/>
      <c r="C15" s="362" t="s">
        <v>289</v>
      </c>
      <c r="D15" s="363" t="s">
        <v>294</v>
      </c>
      <c r="E15" s="363" t="s">
        <v>291</v>
      </c>
      <c r="F15" s="363" t="s">
        <v>292</v>
      </c>
      <c r="G15" s="364">
        <v>115</v>
      </c>
      <c r="H15" s="364" t="s">
        <v>249</v>
      </c>
      <c r="I15" s="364">
        <v>115</v>
      </c>
      <c r="J15" s="364">
        <v>115</v>
      </c>
      <c r="K15" s="365">
        <v>115</v>
      </c>
      <c r="L15" s="365" t="s">
        <v>249</v>
      </c>
      <c r="M15" s="366" t="s">
        <v>249</v>
      </c>
      <c r="N15" s="371">
        <v>115</v>
      </c>
      <c r="O15" s="368"/>
    </row>
    <row r="16" spans="1:17" s="369" customFormat="1" ht="20.149999999999999" customHeight="1">
      <c r="A16" s="332"/>
      <c r="B16" s="370"/>
      <c r="C16" s="362" t="s">
        <v>293</v>
      </c>
      <c r="D16" s="363" t="s">
        <v>295</v>
      </c>
      <c r="E16" s="363" t="s">
        <v>291</v>
      </c>
      <c r="F16" s="363" t="s">
        <v>292</v>
      </c>
      <c r="G16" s="364">
        <v>134.69999999999999</v>
      </c>
      <c r="H16" s="364" t="s">
        <v>249</v>
      </c>
      <c r="I16" s="364">
        <v>134.69999999999999</v>
      </c>
      <c r="J16" s="364">
        <v>134.69999999999999</v>
      </c>
      <c r="K16" s="365">
        <v>134.80000000000001</v>
      </c>
      <c r="L16" s="365" t="s">
        <v>249</v>
      </c>
      <c r="M16" s="366" t="s">
        <v>249</v>
      </c>
      <c r="N16" s="371">
        <v>134.72</v>
      </c>
      <c r="O16" s="368"/>
    </row>
    <row r="17" spans="1:15" s="369" customFormat="1" ht="20.149999999999999" customHeight="1">
      <c r="A17" s="332"/>
      <c r="B17" s="370"/>
      <c r="C17" s="362" t="s">
        <v>289</v>
      </c>
      <c r="D17" s="363" t="s">
        <v>295</v>
      </c>
      <c r="E17" s="363" t="s">
        <v>291</v>
      </c>
      <c r="F17" s="363" t="s">
        <v>292</v>
      </c>
      <c r="G17" s="364">
        <v>123.38</v>
      </c>
      <c r="H17" s="364" t="s">
        <v>249</v>
      </c>
      <c r="I17" s="364">
        <v>123.38</v>
      </c>
      <c r="J17" s="364">
        <v>123.38</v>
      </c>
      <c r="K17" s="365">
        <v>100.04</v>
      </c>
      <c r="L17" s="365" t="s">
        <v>249</v>
      </c>
      <c r="M17" s="366" t="s">
        <v>249</v>
      </c>
      <c r="N17" s="371">
        <v>103.44</v>
      </c>
      <c r="O17" s="368"/>
    </row>
    <row r="18" spans="1:15" s="369" customFormat="1" ht="20.149999999999999" customHeight="1">
      <c r="A18" s="332"/>
      <c r="B18" s="370"/>
      <c r="C18" s="362" t="s">
        <v>296</v>
      </c>
      <c r="D18" s="363" t="s">
        <v>297</v>
      </c>
      <c r="E18" s="363" t="s">
        <v>291</v>
      </c>
      <c r="F18" s="363" t="s">
        <v>292</v>
      </c>
      <c r="G18" s="364">
        <v>88</v>
      </c>
      <c r="H18" s="364" t="s">
        <v>249</v>
      </c>
      <c r="I18" s="364">
        <v>88</v>
      </c>
      <c r="J18" s="364">
        <v>88</v>
      </c>
      <c r="K18" s="365">
        <v>88</v>
      </c>
      <c r="L18" s="365" t="s">
        <v>249</v>
      </c>
      <c r="M18" s="366" t="s">
        <v>249</v>
      </c>
      <c r="N18" s="371">
        <v>88</v>
      </c>
      <c r="O18" s="368"/>
    </row>
    <row r="19" spans="1:15" s="369" customFormat="1" ht="20.149999999999999" customHeight="1">
      <c r="A19" s="332"/>
      <c r="B19" s="370"/>
      <c r="C19" s="362" t="s">
        <v>298</v>
      </c>
      <c r="D19" s="363" t="s">
        <v>297</v>
      </c>
      <c r="E19" s="363" t="s">
        <v>291</v>
      </c>
      <c r="F19" s="363" t="s">
        <v>292</v>
      </c>
      <c r="G19" s="364">
        <v>85</v>
      </c>
      <c r="H19" s="364" t="s">
        <v>249</v>
      </c>
      <c r="I19" s="364">
        <v>85</v>
      </c>
      <c r="J19" s="364">
        <v>85</v>
      </c>
      <c r="K19" s="365">
        <v>85</v>
      </c>
      <c r="L19" s="365" t="s">
        <v>249</v>
      </c>
      <c r="M19" s="366" t="s">
        <v>249</v>
      </c>
      <c r="N19" s="371">
        <v>85</v>
      </c>
      <c r="O19" s="368"/>
    </row>
    <row r="20" spans="1:15" s="369" customFormat="1" ht="20.149999999999999" customHeight="1">
      <c r="A20" s="332"/>
      <c r="B20" s="370"/>
      <c r="C20" s="362" t="s">
        <v>299</v>
      </c>
      <c r="D20" s="363" t="s">
        <v>297</v>
      </c>
      <c r="E20" s="363" t="s">
        <v>291</v>
      </c>
      <c r="F20" s="363" t="s">
        <v>292</v>
      </c>
      <c r="G20" s="364">
        <v>135</v>
      </c>
      <c r="H20" s="364" t="s">
        <v>249</v>
      </c>
      <c r="I20" s="364">
        <v>135</v>
      </c>
      <c r="J20" s="364">
        <v>135</v>
      </c>
      <c r="K20" s="365">
        <v>135</v>
      </c>
      <c r="L20" s="365" t="s">
        <v>249</v>
      </c>
      <c r="M20" s="366" t="s">
        <v>249</v>
      </c>
      <c r="N20" s="371">
        <v>135</v>
      </c>
      <c r="O20" s="368"/>
    </row>
    <row r="21" spans="1:15" s="369" customFormat="1" ht="20.149999999999999" customHeight="1">
      <c r="A21" s="332"/>
      <c r="B21" s="361" t="s">
        <v>300</v>
      </c>
      <c r="C21" s="362" t="s">
        <v>301</v>
      </c>
      <c r="D21" s="363" t="s">
        <v>302</v>
      </c>
      <c r="E21" s="363" t="s">
        <v>291</v>
      </c>
      <c r="F21" s="363" t="s">
        <v>303</v>
      </c>
      <c r="G21" s="364">
        <v>160</v>
      </c>
      <c r="H21" s="364" t="s">
        <v>249</v>
      </c>
      <c r="I21" s="364">
        <v>158</v>
      </c>
      <c r="J21" s="364">
        <v>161</v>
      </c>
      <c r="K21" s="365">
        <v>159</v>
      </c>
      <c r="L21" s="365" t="s">
        <v>249</v>
      </c>
      <c r="M21" s="366" t="s">
        <v>249</v>
      </c>
      <c r="N21" s="371">
        <v>159.5</v>
      </c>
      <c r="O21" s="368"/>
    </row>
    <row r="22" spans="1:15" s="369" customFormat="1" ht="20.149999999999999" customHeight="1">
      <c r="A22" s="332"/>
      <c r="B22" s="370"/>
      <c r="C22" s="362" t="s">
        <v>304</v>
      </c>
      <c r="D22" s="363" t="s">
        <v>302</v>
      </c>
      <c r="E22" s="363" t="s">
        <v>291</v>
      </c>
      <c r="F22" s="363" t="s">
        <v>303</v>
      </c>
      <c r="G22" s="364">
        <v>150</v>
      </c>
      <c r="H22" s="364" t="s">
        <v>249</v>
      </c>
      <c r="I22" s="364">
        <v>149</v>
      </c>
      <c r="J22" s="364">
        <v>151</v>
      </c>
      <c r="K22" s="365">
        <v>150</v>
      </c>
      <c r="L22" s="365" t="s">
        <v>249</v>
      </c>
      <c r="M22" s="366" t="s">
        <v>249</v>
      </c>
      <c r="N22" s="371">
        <v>150.01</v>
      </c>
      <c r="O22" s="368"/>
    </row>
    <row r="23" spans="1:15" s="369" customFormat="1" ht="20.149999999999999" customHeight="1">
      <c r="A23" s="332"/>
      <c r="B23" s="370"/>
      <c r="C23" s="362" t="s">
        <v>305</v>
      </c>
      <c r="D23" s="363" t="s">
        <v>302</v>
      </c>
      <c r="E23" s="363" t="s">
        <v>291</v>
      </c>
      <c r="F23" s="363" t="s">
        <v>303</v>
      </c>
      <c r="G23" s="364">
        <v>168</v>
      </c>
      <c r="H23" s="364" t="s">
        <v>249</v>
      </c>
      <c r="I23" s="364">
        <v>171</v>
      </c>
      <c r="J23" s="364">
        <v>170</v>
      </c>
      <c r="K23" s="365">
        <v>169</v>
      </c>
      <c r="L23" s="365" t="s">
        <v>249</v>
      </c>
      <c r="M23" s="366" t="s">
        <v>249</v>
      </c>
      <c r="N23" s="371">
        <v>169.52</v>
      </c>
      <c r="O23" s="368"/>
    </row>
    <row r="24" spans="1:15" s="369" customFormat="1" ht="20.149999999999999" customHeight="1">
      <c r="A24" s="332"/>
      <c r="B24" s="361" t="s">
        <v>306</v>
      </c>
      <c r="C24" s="362" t="s">
        <v>293</v>
      </c>
      <c r="D24" s="363" t="s">
        <v>307</v>
      </c>
      <c r="E24" s="363" t="s">
        <v>291</v>
      </c>
      <c r="F24" s="363" t="s">
        <v>308</v>
      </c>
      <c r="G24" s="364">
        <v>126.78</v>
      </c>
      <c r="H24" s="364" t="s">
        <v>249</v>
      </c>
      <c r="I24" s="364">
        <v>136.38999999999999</v>
      </c>
      <c r="J24" s="364">
        <v>126.78</v>
      </c>
      <c r="K24" s="365">
        <v>126.78</v>
      </c>
      <c r="L24" s="365" t="s">
        <v>249</v>
      </c>
      <c r="M24" s="366" t="s">
        <v>249</v>
      </c>
      <c r="N24" s="371">
        <v>134.26</v>
      </c>
      <c r="O24" s="368"/>
    </row>
    <row r="25" spans="1:15" s="369" customFormat="1" ht="20.25" customHeight="1">
      <c r="A25" s="332"/>
      <c r="B25" s="370"/>
      <c r="C25" s="362" t="s">
        <v>289</v>
      </c>
      <c r="D25" s="363" t="s">
        <v>307</v>
      </c>
      <c r="E25" s="363" t="s">
        <v>291</v>
      </c>
      <c r="F25" s="363" t="s">
        <v>308</v>
      </c>
      <c r="G25" s="364">
        <v>138.04</v>
      </c>
      <c r="H25" s="364">
        <v>126.9</v>
      </c>
      <c r="I25" s="364">
        <v>138.04</v>
      </c>
      <c r="J25" s="364">
        <v>138.04</v>
      </c>
      <c r="K25" s="365">
        <v>137.5</v>
      </c>
      <c r="L25" s="365">
        <v>108.7</v>
      </c>
      <c r="M25" s="366" t="s">
        <v>249</v>
      </c>
      <c r="N25" s="371">
        <v>136.99</v>
      </c>
      <c r="O25" s="368"/>
    </row>
    <row r="26" spans="1:15" s="369" customFormat="1" ht="20.25" customHeight="1">
      <c r="A26" s="332"/>
      <c r="B26" s="370"/>
      <c r="C26" s="362" t="s">
        <v>289</v>
      </c>
      <c r="D26" s="363" t="s">
        <v>309</v>
      </c>
      <c r="E26" s="363" t="s">
        <v>291</v>
      </c>
      <c r="F26" s="363" t="s">
        <v>310</v>
      </c>
      <c r="G26" s="364">
        <v>157.63</v>
      </c>
      <c r="H26" s="364">
        <v>168.83</v>
      </c>
      <c r="I26" s="364">
        <v>156.76</v>
      </c>
      <c r="J26" s="364">
        <v>160.55000000000001</v>
      </c>
      <c r="K26" s="365">
        <v>161.24</v>
      </c>
      <c r="L26" s="365">
        <v>162.22999999999999</v>
      </c>
      <c r="M26" s="366">
        <v>173.25</v>
      </c>
      <c r="N26" s="371">
        <v>161.96</v>
      </c>
      <c r="O26" s="368"/>
    </row>
    <row r="27" spans="1:15" s="369" customFormat="1" ht="20.25" customHeight="1">
      <c r="A27" s="332"/>
      <c r="B27" s="370"/>
      <c r="C27" s="362" t="s">
        <v>293</v>
      </c>
      <c r="D27" s="363" t="s">
        <v>311</v>
      </c>
      <c r="E27" s="363" t="s">
        <v>291</v>
      </c>
      <c r="F27" s="363" t="s">
        <v>308</v>
      </c>
      <c r="G27" s="364">
        <v>130.83000000000001</v>
      </c>
      <c r="H27" s="364" t="s">
        <v>249</v>
      </c>
      <c r="I27" s="364">
        <v>134.19</v>
      </c>
      <c r="J27" s="364">
        <v>130.83000000000001</v>
      </c>
      <c r="K27" s="365">
        <v>130.26</v>
      </c>
      <c r="L27" s="365">
        <v>162.61000000000001</v>
      </c>
      <c r="M27" s="366" t="s">
        <v>249</v>
      </c>
      <c r="N27" s="371">
        <v>133.38999999999999</v>
      </c>
      <c r="O27" s="368"/>
    </row>
    <row r="28" spans="1:15" s="369" customFormat="1" ht="20.25" customHeight="1">
      <c r="A28" s="332"/>
      <c r="B28" s="370"/>
      <c r="C28" s="362" t="s">
        <v>289</v>
      </c>
      <c r="D28" s="363" t="s">
        <v>311</v>
      </c>
      <c r="E28" s="363" t="s">
        <v>291</v>
      </c>
      <c r="F28" s="363" t="s">
        <v>310</v>
      </c>
      <c r="G28" s="364">
        <v>137.35</v>
      </c>
      <c r="H28" s="364">
        <v>166.38</v>
      </c>
      <c r="I28" s="364">
        <v>139.94</v>
      </c>
      <c r="J28" s="364">
        <v>142.03</v>
      </c>
      <c r="K28" s="365">
        <v>133.27000000000001</v>
      </c>
      <c r="L28" s="365">
        <v>151.16</v>
      </c>
      <c r="M28" s="366" t="s">
        <v>249</v>
      </c>
      <c r="N28" s="371">
        <v>137.88999999999999</v>
      </c>
      <c r="O28" s="368"/>
    </row>
    <row r="29" spans="1:15" s="369" customFormat="1" ht="20.25" customHeight="1">
      <c r="A29" s="332"/>
      <c r="B29" s="370"/>
      <c r="C29" s="362" t="s">
        <v>293</v>
      </c>
      <c r="D29" s="363" t="s">
        <v>312</v>
      </c>
      <c r="E29" s="363" t="s">
        <v>291</v>
      </c>
      <c r="F29" s="363" t="s">
        <v>310</v>
      </c>
      <c r="G29" s="364">
        <v>152.58000000000001</v>
      </c>
      <c r="H29" s="364" t="s">
        <v>249</v>
      </c>
      <c r="I29" s="364">
        <v>157.74</v>
      </c>
      <c r="J29" s="364">
        <v>152.58000000000001</v>
      </c>
      <c r="K29" s="365">
        <v>127.87</v>
      </c>
      <c r="L29" s="365" t="s">
        <v>249</v>
      </c>
      <c r="M29" s="366" t="s">
        <v>249</v>
      </c>
      <c r="N29" s="371">
        <v>149.65</v>
      </c>
      <c r="O29" s="368"/>
    </row>
    <row r="30" spans="1:15" s="369" customFormat="1" ht="20.25" customHeight="1">
      <c r="A30" s="332"/>
      <c r="B30" s="370"/>
      <c r="C30" s="362" t="s">
        <v>289</v>
      </c>
      <c r="D30" s="363" t="s">
        <v>312</v>
      </c>
      <c r="E30" s="363" t="s">
        <v>291</v>
      </c>
      <c r="F30" s="363" t="s">
        <v>310</v>
      </c>
      <c r="G30" s="364">
        <v>151.08000000000001</v>
      </c>
      <c r="H30" s="364">
        <v>138.15</v>
      </c>
      <c r="I30" s="364">
        <v>151.69999999999999</v>
      </c>
      <c r="J30" s="364">
        <v>148.47</v>
      </c>
      <c r="K30" s="365">
        <v>146.35</v>
      </c>
      <c r="L30" s="365">
        <v>141.88999999999999</v>
      </c>
      <c r="M30" s="366">
        <v>142.44</v>
      </c>
      <c r="N30" s="371">
        <v>147.36000000000001</v>
      </c>
      <c r="O30" s="368"/>
    </row>
    <row r="31" spans="1:15" s="369" customFormat="1" ht="20.25" customHeight="1">
      <c r="A31" s="332"/>
      <c r="B31" s="370"/>
      <c r="C31" s="362" t="s">
        <v>313</v>
      </c>
      <c r="D31" s="363" t="s">
        <v>297</v>
      </c>
      <c r="E31" s="363" t="s">
        <v>291</v>
      </c>
      <c r="F31" s="363" t="s">
        <v>310</v>
      </c>
      <c r="G31" s="364">
        <v>115</v>
      </c>
      <c r="H31" s="364" t="s">
        <v>249</v>
      </c>
      <c r="I31" s="364">
        <v>115</v>
      </c>
      <c r="J31" s="364">
        <v>115</v>
      </c>
      <c r="K31" s="365">
        <v>115</v>
      </c>
      <c r="L31" s="365" t="s">
        <v>249</v>
      </c>
      <c r="M31" s="366" t="s">
        <v>249</v>
      </c>
      <c r="N31" s="371">
        <v>115</v>
      </c>
      <c r="O31" s="368"/>
    </row>
    <row r="32" spans="1:15" s="369" customFormat="1" ht="20.25" customHeight="1">
      <c r="A32" s="332"/>
      <c r="B32" s="361" t="s">
        <v>314</v>
      </c>
      <c r="C32" s="362" t="s">
        <v>315</v>
      </c>
      <c r="D32" s="363" t="s">
        <v>316</v>
      </c>
      <c r="E32" s="363" t="s">
        <v>291</v>
      </c>
      <c r="F32" s="363" t="s">
        <v>317</v>
      </c>
      <c r="G32" s="364">
        <v>83</v>
      </c>
      <c r="H32" s="364" t="s">
        <v>249</v>
      </c>
      <c r="I32" s="364">
        <v>83</v>
      </c>
      <c r="J32" s="364">
        <v>83</v>
      </c>
      <c r="K32" s="365">
        <v>83</v>
      </c>
      <c r="L32" s="365" t="s">
        <v>249</v>
      </c>
      <c r="M32" s="366" t="s">
        <v>249</v>
      </c>
      <c r="N32" s="371">
        <v>83</v>
      </c>
      <c r="O32" s="368"/>
    </row>
    <row r="33" spans="1:15" s="369" customFormat="1" ht="20.25" customHeight="1">
      <c r="A33" s="332"/>
      <c r="B33" s="370"/>
      <c r="C33" s="362" t="s">
        <v>298</v>
      </c>
      <c r="D33" s="363" t="s">
        <v>316</v>
      </c>
      <c r="E33" s="363" t="s">
        <v>291</v>
      </c>
      <c r="F33" s="363" t="s">
        <v>317</v>
      </c>
      <c r="G33" s="364">
        <v>85</v>
      </c>
      <c r="H33" s="364" t="s">
        <v>249</v>
      </c>
      <c r="I33" s="364">
        <v>85</v>
      </c>
      <c r="J33" s="364">
        <v>85</v>
      </c>
      <c r="K33" s="365">
        <v>85</v>
      </c>
      <c r="L33" s="365" t="s">
        <v>249</v>
      </c>
      <c r="M33" s="366" t="s">
        <v>249</v>
      </c>
      <c r="N33" s="371">
        <v>85</v>
      </c>
      <c r="O33" s="368"/>
    </row>
    <row r="34" spans="1:15" s="369" customFormat="1" ht="20.25" customHeight="1">
      <c r="A34" s="332"/>
      <c r="B34" s="370"/>
      <c r="C34" s="362" t="s">
        <v>315</v>
      </c>
      <c r="D34" s="363" t="s">
        <v>318</v>
      </c>
      <c r="E34" s="363" t="s">
        <v>291</v>
      </c>
      <c r="F34" s="363" t="s">
        <v>317</v>
      </c>
      <c r="G34" s="364">
        <v>88</v>
      </c>
      <c r="H34" s="364" t="s">
        <v>249</v>
      </c>
      <c r="I34" s="364">
        <v>88</v>
      </c>
      <c r="J34" s="364">
        <v>88</v>
      </c>
      <c r="K34" s="365">
        <v>88</v>
      </c>
      <c r="L34" s="365" t="s">
        <v>249</v>
      </c>
      <c r="M34" s="366" t="s">
        <v>249</v>
      </c>
      <c r="N34" s="371">
        <v>88</v>
      </c>
      <c r="O34" s="368"/>
    </row>
    <row r="35" spans="1:15" s="369" customFormat="1" ht="20.25" customHeight="1">
      <c r="A35" s="332"/>
      <c r="B35" s="370"/>
      <c r="C35" s="362" t="s">
        <v>296</v>
      </c>
      <c r="D35" s="363" t="s">
        <v>318</v>
      </c>
      <c r="E35" s="363" t="s">
        <v>291</v>
      </c>
      <c r="F35" s="363" t="s">
        <v>317</v>
      </c>
      <c r="G35" s="364">
        <v>92</v>
      </c>
      <c r="H35" s="364" t="s">
        <v>249</v>
      </c>
      <c r="I35" s="364">
        <v>92</v>
      </c>
      <c r="J35" s="364">
        <v>92</v>
      </c>
      <c r="K35" s="365">
        <v>92</v>
      </c>
      <c r="L35" s="365" t="s">
        <v>249</v>
      </c>
      <c r="M35" s="366" t="s">
        <v>249</v>
      </c>
      <c r="N35" s="371">
        <v>92</v>
      </c>
      <c r="O35" s="368"/>
    </row>
    <row r="36" spans="1:15" s="369" customFormat="1" ht="20.25" customHeight="1">
      <c r="A36" s="332"/>
      <c r="B36" s="370"/>
      <c r="C36" s="362" t="s">
        <v>298</v>
      </c>
      <c r="D36" s="363" t="s">
        <v>318</v>
      </c>
      <c r="E36" s="363" t="s">
        <v>291</v>
      </c>
      <c r="F36" s="363" t="s">
        <v>317</v>
      </c>
      <c r="G36" s="364">
        <v>90</v>
      </c>
      <c r="H36" s="364" t="s">
        <v>249</v>
      </c>
      <c r="I36" s="364">
        <v>90</v>
      </c>
      <c r="J36" s="364">
        <v>90</v>
      </c>
      <c r="K36" s="365">
        <v>90</v>
      </c>
      <c r="L36" s="365" t="s">
        <v>249</v>
      </c>
      <c r="M36" s="366" t="s">
        <v>249</v>
      </c>
      <c r="N36" s="371">
        <v>90</v>
      </c>
      <c r="O36" s="368"/>
    </row>
    <row r="37" spans="1:15" s="369" customFormat="1" ht="20.25" customHeight="1">
      <c r="A37" s="332"/>
      <c r="B37" s="370"/>
      <c r="C37" s="362" t="s">
        <v>293</v>
      </c>
      <c r="D37" s="363" t="s">
        <v>319</v>
      </c>
      <c r="E37" s="363" t="s">
        <v>291</v>
      </c>
      <c r="F37" s="363" t="s">
        <v>317</v>
      </c>
      <c r="G37" s="364">
        <v>97.89</v>
      </c>
      <c r="H37" s="364" t="s">
        <v>249</v>
      </c>
      <c r="I37" s="364">
        <v>97.14</v>
      </c>
      <c r="J37" s="364">
        <v>99.18</v>
      </c>
      <c r="K37" s="365">
        <v>97.89</v>
      </c>
      <c r="L37" s="365" t="s">
        <v>249</v>
      </c>
      <c r="M37" s="366" t="s">
        <v>249</v>
      </c>
      <c r="N37" s="371">
        <v>97.7</v>
      </c>
      <c r="O37" s="368"/>
    </row>
    <row r="38" spans="1:15" s="369" customFormat="1" ht="20.25" customHeight="1">
      <c r="A38" s="332"/>
      <c r="B38" s="370"/>
      <c r="C38" s="362" t="s">
        <v>289</v>
      </c>
      <c r="D38" s="363" t="s">
        <v>319</v>
      </c>
      <c r="E38" s="363" t="s">
        <v>291</v>
      </c>
      <c r="F38" s="363" t="s">
        <v>317</v>
      </c>
      <c r="G38" s="364">
        <v>78.86</v>
      </c>
      <c r="H38" s="364">
        <v>81.599999999999994</v>
      </c>
      <c r="I38" s="364">
        <v>79.52</v>
      </c>
      <c r="J38" s="364">
        <v>79.05</v>
      </c>
      <c r="K38" s="365">
        <v>85.07</v>
      </c>
      <c r="L38" s="365">
        <v>81.430000000000007</v>
      </c>
      <c r="M38" s="366">
        <v>90.22</v>
      </c>
      <c r="N38" s="371">
        <v>81.77</v>
      </c>
      <c r="O38" s="368"/>
    </row>
    <row r="39" spans="1:15" s="369" customFormat="1" ht="20.25" customHeight="1">
      <c r="A39" s="332"/>
      <c r="B39" s="370"/>
      <c r="C39" s="362" t="s">
        <v>293</v>
      </c>
      <c r="D39" s="363" t="s">
        <v>320</v>
      </c>
      <c r="E39" s="363" t="s">
        <v>291</v>
      </c>
      <c r="F39" s="363" t="s">
        <v>317</v>
      </c>
      <c r="G39" s="364">
        <v>91.86</v>
      </c>
      <c r="H39" s="364" t="s">
        <v>249</v>
      </c>
      <c r="I39" s="364">
        <v>97.18</v>
      </c>
      <c r="J39" s="364">
        <v>94.47</v>
      </c>
      <c r="K39" s="365">
        <v>93.54</v>
      </c>
      <c r="L39" s="365" t="s">
        <v>249</v>
      </c>
      <c r="M39" s="366" t="s">
        <v>249</v>
      </c>
      <c r="N39" s="371">
        <v>95.76</v>
      </c>
      <c r="O39" s="368"/>
    </row>
    <row r="40" spans="1:15" s="369" customFormat="1" ht="20.25" customHeight="1">
      <c r="A40" s="332"/>
      <c r="B40" s="370"/>
      <c r="C40" s="372" t="s">
        <v>315</v>
      </c>
      <c r="D40" s="363" t="s">
        <v>320</v>
      </c>
      <c r="E40" s="363" t="s">
        <v>291</v>
      </c>
      <c r="F40" s="363" t="s">
        <v>317</v>
      </c>
      <c r="G40" s="373">
        <v>83</v>
      </c>
      <c r="H40" s="373" t="s">
        <v>249</v>
      </c>
      <c r="I40" s="373">
        <v>83</v>
      </c>
      <c r="J40" s="373">
        <v>83</v>
      </c>
      <c r="K40" s="374">
        <v>83</v>
      </c>
      <c r="L40" s="374" t="s">
        <v>249</v>
      </c>
      <c r="M40" s="375" t="s">
        <v>249</v>
      </c>
      <c r="N40" s="376">
        <v>83</v>
      </c>
      <c r="O40" s="368"/>
    </row>
    <row r="41" spans="1:15" s="369" customFormat="1" ht="20.25" customHeight="1">
      <c r="A41" s="332"/>
      <c r="B41" s="370"/>
      <c r="C41" s="372" t="s">
        <v>296</v>
      </c>
      <c r="D41" s="363" t="s">
        <v>320</v>
      </c>
      <c r="E41" s="363" t="s">
        <v>291</v>
      </c>
      <c r="F41" s="363" t="s">
        <v>317</v>
      </c>
      <c r="G41" s="373">
        <v>88</v>
      </c>
      <c r="H41" s="373" t="s">
        <v>249</v>
      </c>
      <c r="I41" s="373">
        <v>88</v>
      </c>
      <c r="J41" s="373">
        <v>88</v>
      </c>
      <c r="K41" s="374">
        <v>88</v>
      </c>
      <c r="L41" s="374" t="s">
        <v>249</v>
      </c>
      <c r="M41" s="375" t="s">
        <v>249</v>
      </c>
      <c r="N41" s="376">
        <v>88</v>
      </c>
      <c r="O41" s="368"/>
    </row>
    <row r="42" spans="1:15" s="369" customFormat="1" ht="20.25" customHeight="1">
      <c r="A42" s="332"/>
      <c r="B42" s="370"/>
      <c r="C42" s="372" t="s">
        <v>298</v>
      </c>
      <c r="D42" s="363" t="s">
        <v>320</v>
      </c>
      <c r="E42" s="363" t="s">
        <v>291</v>
      </c>
      <c r="F42" s="363" t="s">
        <v>317</v>
      </c>
      <c r="G42" s="373">
        <v>86</v>
      </c>
      <c r="H42" s="373" t="s">
        <v>249</v>
      </c>
      <c r="I42" s="373">
        <v>86</v>
      </c>
      <c r="J42" s="373">
        <v>86</v>
      </c>
      <c r="K42" s="374">
        <v>86</v>
      </c>
      <c r="L42" s="374" t="s">
        <v>249</v>
      </c>
      <c r="M42" s="375" t="s">
        <v>249</v>
      </c>
      <c r="N42" s="376">
        <v>86</v>
      </c>
      <c r="O42" s="368"/>
    </row>
    <row r="43" spans="1:15" s="369" customFormat="1" ht="20.25" customHeight="1">
      <c r="A43" s="332"/>
      <c r="B43" s="370"/>
      <c r="C43" s="372" t="s">
        <v>289</v>
      </c>
      <c r="D43" s="377" t="s">
        <v>320</v>
      </c>
      <c r="E43" s="377" t="s">
        <v>291</v>
      </c>
      <c r="F43" s="377" t="s">
        <v>317</v>
      </c>
      <c r="G43" s="373">
        <v>89.65</v>
      </c>
      <c r="H43" s="373">
        <v>92.75</v>
      </c>
      <c r="I43" s="373">
        <v>90.19</v>
      </c>
      <c r="J43" s="373">
        <v>92.83</v>
      </c>
      <c r="K43" s="374">
        <v>81.290000000000006</v>
      </c>
      <c r="L43" s="374">
        <v>97.18</v>
      </c>
      <c r="M43" s="378">
        <v>91.12</v>
      </c>
      <c r="N43" s="379">
        <v>84.25</v>
      </c>
      <c r="O43" s="368"/>
    </row>
    <row r="44" spans="1:15" s="369" customFormat="1" ht="20.25" customHeight="1" thickBot="1">
      <c r="A44" s="332"/>
      <c r="B44" s="380"/>
      <c r="C44" s="381" t="s">
        <v>289</v>
      </c>
      <c r="D44" s="381" t="s">
        <v>321</v>
      </c>
      <c r="E44" s="381" t="s">
        <v>291</v>
      </c>
      <c r="F44" s="381" t="s">
        <v>317</v>
      </c>
      <c r="G44" s="382">
        <v>84.51</v>
      </c>
      <c r="H44" s="382" t="s">
        <v>249</v>
      </c>
      <c r="I44" s="382">
        <v>84.51</v>
      </c>
      <c r="J44" s="382">
        <v>84.51</v>
      </c>
      <c r="K44" s="382">
        <v>82.45</v>
      </c>
      <c r="L44" s="382">
        <v>112.29</v>
      </c>
      <c r="M44" s="383" t="s">
        <v>249</v>
      </c>
      <c r="N44" s="384">
        <v>87.02</v>
      </c>
      <c r="O44" s="368"/>
    </row>
    <row r="45" spans="1:15" ht="16.5" customHeight="1">
      <c r="B45" s="342"/>
      <c r="C45" s="342"/>
      <c r="D45" s="342"/>
      <c r="E45" s="342"/>
      <c r="F45" s="342"/>
      <c r="G45" s="342"/>
      <c r="H45" s="342"/>
      <c r="I45" s="342"/>
      <c r="J45" s="342"/>
      <c r="K45" s="342"/>
      <c r="L45" s="342"/>
      <c r="M45" s="342"/>
      <c r="N45" s="342"/>
      <c r="O45" s="341"/>
    </row>
    <row r="46" spans="1:15" ht="15" customHeight="1">
      <c r="B46" s="343" t="s">
        <v>322</v>
      </c>
      <c r="C46" s="343"/>
      <c r="D46" s="343"/>
      <c r="E46" s="343"/>
      <c r="F46" s="343"/>
      <c r="G46" s="343"/>
      <c r="H46" s="343"/>
      <c r="I46" s="343"/>
      <c r="J46" s="343"/>
      <c r="K46" s="343"/>
      <c r="L46" s="343"/>
      <c r="M46" s="343"/>
      <c r="N46" s="343"/>
      <c r="O46" s="345"/>
    </row>
    <row r="47" spans="1:15" ht="4.5" customHeight="1" thickBot="1">
      <c r="B47" s="385"/>
    </row>
    <row r="48" spans="1:15" ht="27" customHeight="1">
      <c r="B48" s="346" t="s">
        <v>232</v>
      </c>
      <c r="C48" s="347" t="s">
        <v>280</v>
      </c>
      <c r="D48" s="348" t="s">
        <v>281</v>
      </c>
      <c r="E48" s="347" t="s">
        <v>282</v>
      </c>
      <c r="F48" s="348" t="s">
        <v>283</v>
      </c>
      <c r="G48" s="386" t="s">
        <v>284</v>
      </c>
      <c r="H48" s="352"/>
      <c r="I48" s="387"/>
      <c r="J48" s="352" t="s">
        <v>285</v>
      </c>
      <c r="K48" s="352"/>
      <c r="L48" s="352"/>
      <c r="M48" s="352"/>
      <c r="N48" s="388"/>
      <c r="O48" s="354"/>
    </row>
    <row r="49" spans="1:15" s="369" customFormat="1" ht="20.149999999999999" customHeight="1">
      <c r="A49" s="332"/>
      <c r="B49" s="355"/>
      <c r="C49" s="389"/>
      <c r="D49" s="390" t="s">
        <v>286</v>
      </c>
      <c r="E49" s="389"/>
      <c r="F49" s="390"/>
      <c r="G49" s="391">
        <v>46027</v>
      </c>
      <c r="H49" s="391">
        <v>46028</v>
      </c>
      <c r="I49" s="391">
        <v>46029</v>
      </c>
      <c r="J49" s="391">
        <v>46030</v>
      </c>
      <c r="K49" s="391">
        <v>46031</v>
      </c>
      <c r="L49" s="391">
        <v>46032</v>
      </c>
      <c r="M49" s="392">
        <v>46033</v>
      </c>
      <c r="N49" s="393" t="s">
        <v>287</v>
      </c>
      <c r="O49" s="368"/>
    </row>
    <row r="50" spans="1:15" s="369" customFormat="1" ht="20.149999999999999" customHeight="1">
      <c r="A50" s="332"/>
      <c r="B50" s="361" t="s">
        <v>323</v>
      </c>
      <c r="C50" s="362" t="s">
        <v>324</v>
      </c>
      <c r="D50" s="363" t="s">
        <v>325</v>
      </c>
      <c r="E50" s="363" t="s">
        <v>291</v>
      </c>
      <c r="F50" s="363" t="s">
        <v>326</v>
      </c>
      <c r="G50" s="394">
        <v>144.27000000000001</v>
      </c>
      <c r="H50" s="394" t="s">
        <v>249</v>
      </c>
      <c r="I50" s="394">
        <v>144.27000000000001</v>
      </c>
      <c r="J50" s="394">
        <v>144.27000000000001</v>
      </c>
      <c r="K50" s="394">
        <v>144.27000000000001</v>
      </c>
      <c r="L50" s="394" t="s">
        <v>249</v>
      </c>
      <c r="M50" s="395" t="s">
        <v>249</v>
      </c>
      <c r="N50" s="396">
        <v>144.27000000000001</v>
      </c>
      <c r="O50" s="368"/>
    </row>
    <row r="51" spans="1:15" s="369" customFormat="1" ht="20.149999999999999" customHeight="1">
      <c r="A51" s="332"/>
      <c r="B51" s="370"/>
      <c r="C51" s="362" t="s">
        <v>327</v>
      </c>
      <c r="D51" s="363" t="s">
        <v>325</v>
      </c>
      <c r="E51" s="363" t="s">
        <v>291</v>
      </c>
      <c r="F51" s="363" t="s">
        <v>326</v>
      </c>
      <c r="G51" s="394">
        <v>100</v>
      </c>
      <c r="H51" s="394" t="s">
        <v>249</v>
      </c>
      <c r="I51" s="394">
        <v>100</v>
      </c>
      <c r="J51" s="394">
        <v>100</v>
      </c>
      <c r="K51" s="394">
        <v>100</v>
      </c>
      <c r="L51" s="394" t="s">
        <v>249</v>
      </c>
      <c r="M51" s="395" t="s">
        <v>249</v>
      </c>
      <c r="N51" s="396">
        <v>100</v>
      </c>
      <c r="O51" s="368"/>
    </row>
    <row r="52" spans="1:15" s="369" customFormat="1" ht="20.149999999999999" customHeight="1">
      <c r="A52" s="332"/>
      <c r="B52" s="370"/>
      <c r="C52" s="362" t="s">
        <v>328</v>
      </c>
      <c r="D52" s="363" t="s">
        <v>325</v>
      </c>
      <c r="E52" s="363" t="s">
        <v>291</v>
      </c>
      <c r="F52" s="363" t="s">
        <v>326</v>
      </c>
      <c r="G52" s="394">
        <v>92.93</v>
      </c>
      <c r="H52" s="394" t="s">
        <v>249</v>
      </c>
      <c r="I52" s="394">
        <v>92.93</v>
      </c>
      <c r="J52" s="394">
        <v>92.93</v>
      </c>
      <c r="K52" s="394">
        <v>92.93</v>
      </c>
      <c r="L52" s="394" t="s">
        <v>249</v>
      </c>
      <c r="M52" s="395" t="s">
        <v>249</v>
      </c>
      <c r="N52" s="396">
        <v>92.93</v>
      </c>
      <c r="O52" s="368"/>
    </row>
    <row r="53" spans="1:15" s="369" customFormat="1" ht="20.149999999999999" customHeight="1">
      <c r="A53" s="332"/>
      <c r="B53" s="370"/>
      <c r="C53" s="362" t="s">
        <v>324</v>
      </c>
      <c r="D53" s="363" t="s">
        <v>329</v>
      </c>
      <c r="E53" s="363" t="s">
        <v>291</v>
      </c>
      <c r="F53" s="363" t="s">
        <v>326</v>
      </c>
      <c r="G53" s="394">
        <v>134.13999999999999</v>
      </c>
      <c r="H53" s="394" t="s">
        <v>249</v>
      </c>
      <c r="I53" s="394">
        <v>134.13999999999999</v>
      </c>
      <c r="J53" s="394">
        <v>134.13999999999999</v>
      </c>
      <c r="K53" s="394">
        <v>134.13999999999999</v>
      </c>
      <c r="L53" s="394" t="s">
        <v>249</v>
      </c>
      <c r="M53" s="395" t="s">
        <v>249</v>
      </c>
      <c r="N53" s="396">
        <v>134.13999999999999</v>
      </c>
      <c r="O53" s="368"/>
    </row>
    <row r="54" spans="1:15" s="369" customFormat="1" ht="20.149999999999999" customHeight="1">
      <c r="A54" s="332"/>
      <c r="B54" s="370"/>
      <c r="C54" s="362" t="s">
        <v>327</v>
      </c>
      <c r="D54" s="363" t="s">
        <v>329</v>
      </c>
      <c r="E54" s="363" t="s">
        <v>291</v>
      </c>
      <c r="F54" s="363" t="s">
        <v>326</v>
      </c>
      <c r="G54" s="394">
        <v>119.58</v>
      </c>
      <c r="H54" s="394" t="s">
        <v>249</v>
      </c>
      <c r="I54" s="394" t="s">
        <v>249</v>
      </c>
      <c r="J54" s="394" t="s">
        <v>249</v>
      </c>
      <c r="K54" s="394" t="s">
        <v>249</v>
      </c>
      <c r="L54" s="394" t="s">
        <v>249</v>
      </c>
      <c r="M54" s="395" t="s">
        <v>249</v>
      </c>
      <c r="N54" s="396">
        <v>119.58</v>
      </c>
      <c r="O54" s="368"/>
    </row>
    <row r="55" spans="1:15" s="369" customFormat="1" ht="20.149999999999999" customHeight="1">
      <c r="A55" s="332"/>
      <c r="B55" s="370"/>
      <c r="C55" s="362" t="s">
        <v>328</v>
      </c>
      <c r="D55" s="363" t="s">
        <v>329</v>
      </c>
      <c r="E55" s="363" t="s">
        <v>291</v>
      </c>
      <c r="F55" s="363" t="s">
        <v>326</v>
      </c>
      <c r="G55" s="394">
        <v>102.51</v>
      </c>
      <c r="H55" s="394" t="s">
        <v>249</v>
      </c>
      <c r="I55" s="394">
        <v>102.51</v>
      </c>
      <c r="J55" s="394">
        <v>102.51</v>
      </c>
      <c r="K55" s="394">
        <v>102.51</v>
      </c>
      <c r="L55" s="394" t="s">
        <v>249</v>
      </c>
      <c r="M55" s="395" t="s">
        <v>249</v>
      </c>
      <c r="N55" s="396">
        <v>102.51</v>
      </c>
      <c r="O55" s="368"/>
    </row>
    <row r="56" spans="1:15" s="369" customFormat="1" ht="20.149999999999999" customHeight="1">
      <c r="A56" s="332"/>
      <c r="B56" s="370"/>
      <c r="C56" s="362" t="s">
        <v>324</v>
      </c>
      <c r="D56" s="363" t="s">
        <v>330</v>
      </c>
      <c r="E56" s="363" t="s">
        <v>291</v>
      </c>
      <c r="F56" s="363" t="s">
        <v>326</v>
      </c>
      <c r="G56" s="394">
        <v>133.09</v>
      </c>
      <c r="H56" s="394" t="s">
        <v>249</v>
      </c>
      <c r="I56" s="394">
        <v>133.09</v>
      </c>
      <c r="J56" s="394">
        <v>133.09</v>
      </c>
      <c r="K56" s="394">
        <v>133.09</v>
      </c>
      <c r="L56" s="394" t="s">
        <v>249</v>
      </c>
      <c r="M56" s="395" t="s">
        <v>249</v>
      </c>
      <c r="N56" s="396">
        <v>133.09</v>
      </c>
      <c r="O56" s="368"/>
    </row>
    <row r="57" spans="1:15" s="369" customFormat="1" ht="20.25" customHeight="1">
      <c r="A57" s="332"/>
      <c r="B57" s="370"/>
      <c r="C57" s="362" t="s">
        <v>327</v>
      </c>
      <c r="D57" s="363" t="s">
        <v>330</v>
      </c>
      <c r="E57" s="363" t="s">
        <v>291</v>
      </c>
      <c r="F57" s="363" t="s">
        <v>326</v>
      </c>
      <c r="G57" s="394">
        <v>104.97</v>
      </c>
      <c r="H57" s="394" t="s">
        <v>249</v>
      </c>
      <c r="I57" s="394" t="s">
        <v>249</v>
      </c>
      <c r="J57" s="394" t="s">
        <v>249</v>
      </c>
      <c r="K57" s="394" t="s">
        <v>249</v>
      </c>
      <c r="L57" s="394" t="s">
        <v>249</v>
      </c>
      <c r="M57" s="395" t="s">
        <v>249</v>
      </c>
      <c r="N57" s="396">
        <v>104.97</v>
      </c>
      <c r="O57" s="368"/>
    </row>
    <row r="58" spans="1:15" s="369" customFormat="1" ht="20.25" customHeight="1">
      <c r="A58" s="332"/>
      <c r="B58" s="370"/>
      <c r="C58" s="362" t="s">
        <v>331</v>
      </c>
      <c r="D58" s="363" t="s">
        <v>330</v>
      </c>
      <c r="E58" s="363" t="s">
        <v>291</v>
      </c>
      <c r="F58" s="363" t="s">
        <v>326</v>
      </c>
      <c r="G58" s="394">
        <v>134</v>
      </c>
      <c r="H58" s="394" t="s">
        <v>249</v>
      </c>
      <c r="I58" s="394">
        <v>134</v>
      </c>
      <c r="J58" s="394">
        <v>134</v>
      </c>
      <c r="K58" s="394">
        <v>134</v>
      </c>
      <c r="L58" s="394" t="s">
        <v>249</v>
      </c>
      <c r="M58" s="395" t="s">
        <v>249</v>
      </c>
      <c r="N58" s="396">
        <v>134</v>
      </c>
      <c r="O58" s="368"/>
    </row>
    <row r="59" spans="1:15" s="369" customFormat="1" ht="20.25" customHeight="1">
      <c r="A59" s="332"/>
      <c r="B59" s="370"/>
      <c r="C59" s="362" t="s">
        <v>328</v>
      </c>
      <c r="D59" s="363" t="s">
        <v>330</v>
      </c>
      <c r="E59" s="363" t="s">
        <v>291</v>
      </c>
      <c r="F59" s="363" t="s">
        <v>326</v>
      </c>
      <c r="G59" s="394">
        <v>80.67</v>
      </c>
      <c r="H59" s="394" t="s">
        <v>249</v>
      </c>
      <c r="I59" s="394">
        <v>80.67</v>
      </c>
      <c r="J59" s="394">
        <v>80.67</v>
      </c>
      <c r="K59" s="394">
        <v>80.67</v>
      </c>
      <c r="L59" s="394" t="s">
        <v>249</v>
      </c>
      <c r="M59" s="395" t="s">
        <v>249</v>
      </c>
      <c r="N59" s="396">
        <v>80.67</v>
      </c>
      <c r="O59" s="368"/>
    </row>
    <row r="60" spans="1:15" s="369" customFormat="1" ht="20.25" customHeight="1">
      <c r="A60" s="332"/>
      <c r="B60" s="370"/>
      <c r="C60" s="362" t="s">
        <v>324</v>
      </c>
      <c r="D60" s="363" t="s">
        <v>332</v>
      </c>
      <c r="E60" s="363" t="s">
        <v>291</v>
      </c>
      <c r="F60" s="363" t="s">
        <v>326</v>
      </c>
      <c r="G60" s="394">
        <v>122.33</v>
      </c>
      <c r="H60" s="394" t="s">
        <v>249</v>
      </c>
      <c r="I60" s="394">
        <v>122.33</v>
      </c>
      <c r="J60" s="394">
        <v>122.33</v>
      </c>
      <c r="K60" s="394">
        <v>122.33</v>
      </c>
      <c r="L60" s="394" t="s">
        <v>249</v>
      </c>
      <c r="M60" s="395" t="s">
        <v>249</v>
      </c>
      <c r="N60" s="396">
        <v>122.33</v>
      </c>
      <c r="O60" s="368"/>
    </row>
    <row r="61" spans="1:15" s="369" customFormat="1" ht="20.25" customHeight="1">
      <c r="A61" s="332"/>
      <c r="B61" s="370"/>
      <c r="C61" s="362" t="s">
        <v>327</v>
      </c>
      <c r="D61" s="363" t="s">
        <v>332</v>
      </c>
      <c r="E61" s="363" t="s">
        <v>291</v>
      </c>
      <c r="F61" s="363" t="s">
        <v>326</v>
      </c>
      <c r="G61" s="394">
        <v>105</v>
      </c>
      <c r="H61" s="394" t="s">
        <v>249</v>
      </c>
      <c r="I61" s="394">
        <v>105</v>
      </c>
      <c r="J61" s="394">
        <v>105</v>
      </c>
      <c r="K61" s="394">
        <v>105</v>
      </c>
      <c r="L61" s="394" t="s">
        <v>249</v>
      </c>
      <c r="M61" s="395" t="s">
        <v>249</v>
      </c>
      <c r="N61" s="396">
        <v>105</v>
      </c>
      <c r="O61" s="368"/>
    </row>
    <row r="62" spans="1:15" s="369" customFormat="1" ht="20.25" customHeight="1">
      <c r="A62" s="332"/>
      <c r="B62" s="370"/>
      <c r="C62" s="362" t="s">
        <v>328</v>
      </c>
      <c r="D62" s="363" t="s">
        <v>332</v>
      </c>
      <c r="E62" s="363" t="s">
        <v>291</v>
      </c>
      <c r="F62" s="363" t="s">
        <v>326</v>
      </c>
      <c r="G62" s="394">
        <v>116.4</v>
      </c>
      <c r="H62" s="394" t="s">
        <v>249</v>
      </c>
      <c r="I62" s="394">
        <v>116.4</v>
      </c>
      <c r="J62" s="394">
        <v>116.4</v>
      </c>
      <c r="K62" s="394">
        <v>116.4</v>
      </c>
      <c r="L62" s="394" t="s">
        <v>249</v>
      </c>
      <c r="M62" s="395" t="s">
        <v>249</v>
      </c>
      <c r="N62" s="396">
        <v>116.4</v>
      </c>
      <c r="O62" s="368"/>
    </row>
    <row r="63" spans="1:15" s="369" customFormat="1" ht="20.25" customHeight="1">
      <c r="A63" s="332"/>
      <c r="B63" s="370"/>
      <c r="C63" s="362" t="s">
        <v>324</v>
      </c>
      <c r="D63" s="363" t="s">
        <v>333</v>
      </c>
      <c r="E63" s="363" t="s">
        <v>291</v>
      </c>
      <c r="F63" s="363" t="s">
        <v>326</v>
      </c>
      <c r="G63" s="394">
        <v>134</v>
      </c>
      <c r="H63" s="394" t="s">
        <v>249</v>
      </c>
      <c r="I63" s="394">
        <v>134</v>
      </c>
      <c r="J63" s="394">
        <v>134</v>
      </c>
      <c r="K63" s="394">
        <v>134</v>
      </c>
      <c r="L63" s="394" t="s">
        <v>249</v>
      </c>
      <c r="M63" s="395" t="s">
        <v>249</v>
      </c>
      <c r="N63" s="396">
        <v>134</v>
      </c>
      <c r="O63" s="368"/>
    </row>
    <row r="64" spans="1:15" s="369" customFormat="1" ht="20.25" customHeight="1">
      <c r="A64" s="332"/>
      <c r="B64" s="370"/>
      <c r="C64" s="362" t="s">
        <v>328</v>
      </c>
      <c r="D64" s="363" t="s">
        <v>334</v>
      </c>
      <c r="E64" s="363" t="s">
        <v>291</v>
      </c>
      <c r="F64" s="363" t="s">
        <v>326</v>
      </c>
      <c r="G64" s="394">
        <v>109.98</v>
      </c>
      <c r="H64" s="394" t="s">
        <v>249</v>
      </c>
      <c r="I64" s="394">
        <v>109.98</v>
      </c>
      <c r="J64" s="394">
        <v>109.98</v>
      </c>
      <c r="K64" s="394">
        <v>109.98</v>
      </c>
      <c r="L64" s="394" t="s">
        <v>249</v>
      </c>
      <c r="M64" s="395" t="s">
        <v>249</v>
      </c>
      <c r="N64" s="396">
        <v>109.98</v>
      </c>
      <c r="O64" s="368"/>
    </row>
    <row r="65" spans="1:15" s="369" customFormat="1" ht="20.25" customHeight="1">
      <c r="A65" s="332"/>
      <c r="B65" s="361" t="s">
        <v>335</v>
      </c>
      <c r="C65" s="362" t="s">
        <v>327</v>
      </c>
      <c r="D65" s="363" t="s">
        <v>336</v>
      </c>
      <c r="E65" s="363" t="s">
        <v>291</v>
      </c>
      <c r="F65" s="363" t="s">
        <v>337</v>
      </c>
      <c r="G65" s="394">
        <v>104.94</v>
      </c>
      <c r="H65" s="394" t="s">
        <v>249</v>
      </c>
      <c r="I65" s="394">
        <v>104.94</v>
      </c>
      <c r="J65" s="394">
        <v>104.94</v>
      </c>
      <c r="K65" s="394">
        <v>104.94</v>
      </c>
      <c r="L65" s="394" t="s">
        <v>249</v>
      </c>
      <c r="M65" s="395" t="s">
        <v>249</v>
      </c>
      <c r="N65" s="396">
        <v>104.94</v>
      </c>
      <c r="O65" s="368"/>
    </row>
    <row r="66" spans="1:15" s="369" customFormat="1" ht="20.25" customHeight="1">
      <c r="A66" s="332"/>
      <c r="B66" s="370"/>
      <c r="C66" s="362" t="s">
        <v>331</v>
      </c>
      <c r="D66" s="363" t="s">
        <v>336</v>
      </c>
      <c r="E66" s="363" t="s">
        <v>291</v>
      </c>
      <c r="F66" s="363" t="s">
        <v>337</v>
      </c>
      <c r="G66" s="394">
        <v>142.5</v>
      </c>
      <c r="H66" s="394" t="s">
        <v>249</v>
      </c>
      <c r="I66" s="394">
        <v>142.5</v>
      </c>
      <c r="J66" s="394">
        <v>142.5</v>
      </c>
      <c r="K66" s="394">
        <v>142.5</v>
      </c>
      <c r="L66" s="394" t="s">
        <v>249</v>
      </c>
      <c r="M66" s="395" t="s">
        <v>249</v>
      </c>
      <c r="N66" s="396">
        <v>142.5</v>
      </c>
      <c r="O66" s="368"/>
    </row>
    <row r="67" spans="1:15" s="369" customFormat="1" ht="20.25" customHeight="1">
      <c r="A67" s="332"/>
      <c r="B67" s="370"/>
      <c r="C67" s="362" t="s">
        <v>328</v>
      </c>
      <c r="D67" s="363" t="s">
        <v>336</v>
      </c>
      <c r="E67" s="363" t="s">
        <v>291</v>
      </c>
      <c r="F67" s="363" t="s">
        <v>337</v>
      </c>
      <c r="G67" s="394">
        <v>133.37</v>
      </c>
      <c r="H67" s="394" t="s">
        <v>249</v>
      </c>
      <c r="I67" s="394">
        <v>133.37</v>
      </c>
      <c r="J67" s="394">
        <v>133.37</v>
      </c>
      <c r="K67" s="394">
        <v>133.37</v>
      </c>
      <c r="L67" s="394" t="s">
        <v>249</v>
      </c>
      <c r="M67" s="395" t="s">
        <v>249</v>
      </c>
      <c r="N67" s="396">
        <v>133.37</v>
      </c>
      <c r="O67" s="368"/>
    </row>
    <row r="68" spans="1:15" s="369" customFormat="1" ht="20.25" customHeight="1">
      <c r="A68" s="332"/>
      <c r="B68" s="370"/>
      <c r="C68" s="362" t="s">
        <v>338</v>
      </c>
      <c r="D68" s="363" t="s">
        <v>339</v>
      </c>
      <c r="E68" s="363" t="s">
        <v>291</v>
      </c>
      <c r="F68" s="363" t="s">
        <v>340</v>
      </c>
      <c r="G68" s="394">
        <v>185</v>
      </c>
      <c r="H68" s="394" t="s">
        <v>249</v>
      </c>
      <c r="I68" s="394">
        <v>185</v>
      </c>
      <c r="J68" s="394">
        <v>185</v>
      </c>
      <c r="K68" s="394">
        <v>185</v>
      </c>
      <c r="L68" s="394" t="s">
        <v>249</v>
      </c>
      <c r="M68" s="395" t="s">
        <v>249</v>
      </c>
      <c r="N68" s="396">
        <v>185</v>
      </c>
      <c r="O68" s="368"/>
    </row>
    <row r="69" spans="1:15" s="369" customFormat="1" ht="20.25" customHeight="1">
      <c r="A69" s="332"/>
      <c r="B69" s="370"/>
      <c r="C69" s="362" t="s">
        <v>327</v>
      </c>
      <c r="D69" s="363" t="s">
        <v>339</v>
      </c>
      <c r="E69" s="363" t="s">
        <v>291</v>
      </c>
      <c r="F69" s="363" t="s">
        <v>340</v>
      </c>
      <c r="G69" s="394">
        <v>159.86000000000001</v>
      </c>
      <c r="H69" s="394" t="s">
        <v>249</v>
      </c>
      <c r="I69" s="394">
        <v>159.86000000000001</v>
      </c>
      <c r="J69" s="394">
        <v>159.86000000000001</v>
      </c>
      <c r="K69" s="394">
        <v>159.86000000000001</v>
      </c>
      <c r="L69" s="394" t="s">
        <v>249</v>
      </c>
      <c r="M69" s="395" t="s">
        <v>249</v>
      </c>
      <c r="N69" s="396">
        <v>159.86000000000001</v>
      </c>
      <c r="O69" s="368"/>
    </row>
    <row r="70" spans="1:15" s="369" customFormat="1" ht="20.25" customHeight="1">
      <c r="A70" s="332"/>
      <c r="B70" s="370"/>
      <c r="C70" s="372" t="s">
        <v>328</v>
      </c>
      <c r="D70" s="377" t="s">
        <v>339</v>
      </c>
      <c r="E70" s="377" t="s">
        <v>291</v>
      </c>
      <c r="F70" s="377" t="s">
        <v>340</v>
      </c>
      <c r="G70" s="397">
        <v>145.31</v>
      </c>
      <c r="H70" s="397" t="s">
        <v>249</v>
      </c>
      <c r="I70" s="397">
        <v>145.31</v>
      </c>
      <c r="J70" s="397">
        <v>145.31</v>
      </c>
      <c r="K70" s="397">
        <v>145.31</v>
      </c>
      <c r="L70" s="397" t="s">
        <v>249</v>
      </c>
      <c r="M70" s="398" t="s">
        <v>249</v>
      </c>
      <c r="N70" s="399">
        <v>145.31</v>
      </c>
      <c r="O70" s="368"/>
    </row>
    <row r="71" spans="1:15" s="369" customFormat="1" ht="20.25" customHeight="1">
      <c r="A71" s="332"/>
      <c r="B71" s="370"/>
      <c r="C71" s="363" t="s">
        <v>327</v>
      </c>
      <c r="D71" s="363" t="s">
        <v>341</v>
      </c>
      <c r="E71" s="363" t="s">
        <v>291</v>
      </c>
      <c r="F71" s="363" t="s">
        <v>342</v>
      </c>
      <c r="G71" s="394">
        <v>170</v>
      </c>
      <c r="H71" s="394" t="s">
        <v>249</v>
      </c>
      <c r="I71" s="394">
        <v>170</v>
      </c>
      <c r="J71" s="394">
        <v>170</v>
      </c>
      <c r="K71" s="394">
        <v>170</v>
      </c>
      <c r="L71" s="394" t="s">
        <v>249</v>
      </c>
      <c r="M71" s="395" t="s">
        <v>249</v>
      </c>
      <c r="N71" s="396">
        <v>170</v>
      </c>
      <c r="O71" s="368"/>
    </row>
    <row r="72" spans="1:15" s="369" customFormat="1" ht="20.25" customHeight="1" thickBot="1">
      <c r="A72" s="332"/>
      <c r="B72" s="380"/>
      <c r="C72" s="381" t="s">
        <v>327</v>
      </c>
      <c r="D72" s="400" t="s">
        <v>343</v>
      </c>
      <c r="E72" s="381" t="s">
        <v>291</v>
      </c>
      <c r="F72" s="400" t="s">
        <v>326</v>
      </c>
      <c r="G72" s="401">
        <v>142.44</v>
      </c>
      <c r="H72" s="401" t="s">
        <v>249</v>
      </c>
      <c r="I72" s="401">
        <v>142.44</v>
      </c>
      <c r="J72" s="401">
        <v>142.44</v>
      </c>
      <c r="K72" s="401">
        <v>142.44</v>
      </c>
      <c r="L72" s="401" t="s">
        <v>249</v>
      </c>
      <c r="M72" s="402" t="s">
        <v>249</v>
      </c>
      <c r="N72" s="403">
        <v>142.44</v>
      </c>
      <c r="O72" s="368"/>
    </row>
    <row r="73" spans="1:15" ht="20.149999999999999" customHeight="1">
      <c r="N73" s="100"/>
    </row>
    <row r="75" spans="1:15" ht="15" customHeight="1">
      <c r="B75" s="343" t="s">
        <v>344</v>
      </c>
      <c r="C75" s="343"/>
      <c r="D75" s="343"/>
      <c r="E75" s="343"/>
      <c r="F75" s="343"/>
      <c r="G75" s="343"/>
      <c r="H75" s="343"/>
      <c r="I75" s="343"/>
      <c r="J75" s="343"/>
      <c r="K75" s="343"/>
      <c r="L75" s="343"/>
      <c r="M75" s="343"/>
      <c r="N75" s="343"/>
      <c r="O75" s="345"/>
    </row>
    <row r="76" spans="1:15" ht="4.5" customHeight="1" thickBot="1">
      <c r="B76" s="385"/>
    </row>
    <row r="77" spans="1:15" ht="27" customHeight="1">
      <c r="B77" s="346" t="s">
        <v>232</v>
      </c>
      <c r="C77" s="404" t="s">
        <v>280</v>
      </c>
      <c r="D77" s="405" t="s">
        <v>281</v>
      </c>
      <c r="E77" s="404" t="s">
        <v>282</v>
      </c>
      <c r="F77" s="405" t="s">
        <v>283</v>
      </c>
      <c r="G77" s="406" t="s">
        <v>284</v>
      </c>
      <c r="H77" s="407"/>
      <c r="I77" s="408"/>
      <c r="J77" s="407" t="s">
        <v>285</v>
      </c>
      <c r="K77" s="407"/>
      <c r="L77" s="407"/>
      <c r="M77" s="407"/>
      <c r="N77" s="409"/>
      <c r="O77" s="354"/>
    </row>
    <row r="78" spans="1:15" ht="20.149999999999999" customHeight="1">
      <c r="B78" s="410"/>
      <c r="C78" s="411"/>
      <c r="D78" s="412" t="s">
        <v>286</v>
      </c>
      <c r="E78" s="411"/>
      <c r="F78" s="412"/>
      <c r="G78" s="413">
        <v>46027</v>
      </c>
      <c r="H78" s="413">
        <v>46028</v>
      </c>
      <c r="I78" s="413">
        <v>46029</v>
      </c>
      <c r="J78" s="413">
        <v>46030</v>
      </c>
      <c r="K78" s="413">
        <v>46031</v>
      </c>
      <c r="L78" s="413">
        <v>46032</v>
      </c>
      <c r="M78" s="414">
        <v>46033</v>
      </c>
      <c r="N78" s="415" t="s">
        <v>287</v>
      </c>
      <c r="O78" s="360"/>
    </row>
    <row r="79" spans="1:15" ht="20.149999999999999" customHeight="1">
      <c r="B79" s="361" t="s">
        <v>345</v>
      </c>
      <c r="C79" s="362" t="s">
        <v>346</v>
      </c>
      <c r="D79" s="363" t="s">
        <v>347</v>
      </c>
      <c r="E79" s="363" t="s">
        <v>106</v>
      </c>
      <c r="F79" s="363" t="s">
        <v>106</v>
      </c>
      <c r="G79" s="394">
        <v>253.3</v>
      </c>
      <c r="H79" s="394" t="s">
        <v>249</v>
      </c>
      <c r="I79" s="394">
        <v>253.3</v>
      </c>
      <c r="J79" s="394">
        <v>253.3</v>
      </c>
      <c r="K79" s="394">
        <v>253.3</v>
      </c>
      <c r="L79" s="394" t="s">
        <v>249</v>
      </c>
      <c r="M79" s="395" t="s">
        <v>249</v>
      </c>
      <c r="N79" s="396">
        <v>253.3</v>
      </c>
      <c r="O79" s="360"/>
    </row>
    <row r="80" spans="1:15" ht="20.149999999999999" customHeight="1">
      <c r="B80" s="370"/>
      <c r="C80" s="363" t="s">
        <v>304</v>
      </c>
      <c r="D80" s="363" t="s">
        <v>347</v>
      </c>
      <c r="E80" s="363" t="s">
        <v>106</v>
      </c>
      <c r="F80" s="363" t="s">
        <v>106</v>
      </c>
      <c r="G80" s="394">
        <v>248</v>
      </c>
      <c r="H80" s="394" t="s">
        <v>249</v>
      </c>
      <c r="I80" s="394">
        <v>248</v>
      </c>
      <c r="J80" s="394">
        <v>248</v>
      </c>
      <c r="K80" s="394">
        <v>248</v>
      </c>
      <c r="L80" s="394" t="s">
        <v>249</v>
      </c>
      <c r="M80" s="395" t="s">
        <v>249</v>
      </c>
      <c r="N80" s="396">
        <v>248</v>
      </c>
      <c r="O80" s="360"/>
    </row>
    <row r="81" spans="2:15" ht="20.149999999999999" customHeight="1" thickBot="1">
      <c r="B81" s="416" t="s">
        <v>348</v>
      </c>
      <c r="C81" s="381" t="s">
        <v>301</v>
      </c>
      <c r="D81" s="400" t="s">
        <v>349</v>
      </c>
      <c r="E81" s="381" t="s">
        <v>291</v>
      </c>
      <c r="F81" s="400" t="s">
        <v>106</v>
      </c>
      <c r="G81" s="401">
        <v>198.22</v>
      </c>
      <c r="H81" s="401" t="s">
        <v>249</v>
      </c>
      <c r="I81" s="401">
        <v>198.22</v>
      </c>
      <c r="J81" s="401">
        <v>198.22</v>
      </c>
      <c r="K81" s="401">
        <v>198.22</v>
      </c>
      <c r="L81" s="401" t="s">
        <v>249</v>
      </c>
      <c r="M81" s="402" t="s">
        <v>249</v>
      </c>
      <c r="N81" s="403">
        <v>198.22</v>
      </c>
      <c r="O81" s="360"/>
    </row>
    <row r="82" spans="2:15">
      <c r="N82" s="100" t="s">
        <v>68</v>
      </c>
    </row>
  </sheetData>
  <mergeCells count="5">
    <mergeCell ref="B4:N4"/>
    <mergeCell ref="B5:N5"/>
    <mergeCell ref="B6:N6"/>
    <mergeCell ref="B7:N7"/>
    <mergeCell ref="B8:N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8" orientation="portrait" r:id="rId1"/>
  <headerFooter scaleWithDoc="0" alignWithMargins="0">
    <oddHeader>&amp;R&amp;"Verdana,Normal"&amp;8 14</oddHeader>
    <oddFooter>&amp;R&amp;"Verdana,Cursiva"&amp;8Subdirección General de Análisis, Coordinación y Estadística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7DB87-F2D5-4EBE-931E-9A0E5F60F674}">
  <sheetPr>
    <pageSetUpPr fitToPage="1"/>
  </sheetPr>
  <dimension ref="A1:H41"/>
  <sheetViews>
    <sheetView showGridLines="0" zoomScaleNormal="100" zoomScaleSheetLayoutView="100" workbookViewId="0"/>
  </sheetViews>
  <sheetFormatPr baseColWidth="10" defaultColWidth="14.453125" defaultRowHeight="15"/>
  <cols>
    <col min="1" max="1" width="3" style="417" customWidth="1"/>
    <col min="2" max="2" width="22.453125" style="418" customWidth="1"/>
    <col min="3" max="3" width="17.54296875" style="418" customWidth="1"/>
    <col min="4" max="4" width="73.453125" style="418" bestFit="1" customWidth="1"/>
    <col min="5" max="5" width="8.54296875" style="418" customWidth="1"/>
    <col min="6" max="6" width="24.54296875" style="418" customWidth="1"/>
    <col min="7" max="7" width="69.453125" style="418" customWidth="1"/>
    <col min="8" max="8" width="3.54296875" style="334" customWidth="1"/>
    <col min="9" max="9" width="14.453125" style="334"/>
    <col min="10" max="11" width="16.54296875" style="334" bestFit="1" customWidth="1"/>
    <col min="12" max="12" width="14.453125" style="334" bestFit="1" customWidth="1"/>
    <col min="13" max="16384" width="14.453125" style="334"/>
  </cols>
  <sheetData>
    <row r="1" spans="1:8" ht="11.25" customHeight="1">
      <c r="B1" s="417"/>
      <c r="C1" s="417"/>
      <c r="D1" s="417"/>
      <c r="E1" s="417"/>
      <c r="F1" s="417"/>
      <c r="G1" s="417"/>
      <c r="H1" s="417"/>
    </row>
    <row r="2" spans="1:8">
      <c r="G2" s="337"/>
      <c r="H2" s="338"/>
    </row>
    <row r="3" spans="1:8" ht="8.25" customHeight="1">
      <c r="H3" s="338"/>
    </row>
    <row r="4" spans="1:8" ht="1.5" customHeight="1" thickBot="1">
      <c r="H4" s="338"/>
    </row>
    <row r="5" spans="1:8" ht="26.25" customHeight="1" thickBot="1">
      <c r="B5" s="722" t="s">
        <v>350</v>
      </c>
      <c r="C5" s="723"/>
      <c r="D5" s="723"/>
      <c r="E5" s="723"/>
      <c r="F5" s="723"/>
      <c r="G5" s="724"/>
      <c r="H5" s="339"/>
    </row>
    <row r="6" spans="1:8" ht="15" customHeight="1">
      <c r="B6" s="725"/>
      <c r="C6" s="725"/>
      <c r="D6" s="725"/>
      <c r="E6" s="725"/>
      <c r="F6" s="725"/>
      <c r="G6" s="725"/>
      <c r="H6" s="341"/>
    </row>
    <row r="7" spans="1:8" ht="33.65" customHeight="1">
      <c r="B7" s="726" t="s">
        <v>351</v>
      </c>
      <c r="C7" s="726"/>
      <c r="D7" s="726"/>
      <c r="E7" s="726"/>
      <c r="F7" s="726"/>
      <c r="G7" s="726"/>
      <c r="H7" s="341"/>
    </row>
    <row r="8" spans="1:8" ht="27" customHeight="1">
      <c r="B8" s="727" t="s">
        <v>352</v>
      </c>
      <c r="C8" s="728"/>
      <c r="D8" s="728"/>
      <c r="E8" s="728"/>
      <c r="F8" s="728"/>
      <c r="G8" s="728"/>
      <c r="H8" s="341"/>
    </row>
    <row r="9" spans="1:8" ht="17.25" customHeight="1">
      <c r="A9" s="421"/>
      <c r="B9" s="721" t="s">
        <v>279</v>
      </c>
      <c r="C9" s="721"/>
      <c r="D9" s="721"/>
      <c r="E9" s="721"/>
      <c r="F9" s="721"/>
      <c r="G9" s="721"/>
      <c r="H9" s="423"/>
    </row>
    <row r="10" spans="1:8" ht="3.75" customHeight="1" thickBot="1">
      <c r="B10" s="419"/>
    </row>
    <row r="11" spans="1:8" ht="30" customHeight="1">
      <c r="B11" s="346" t="s">
        <v>232</v>
      </c>
      <c r="C11" s="347" t="s">
        <v>280</v>
      </c>
      <c r="D11" s="348" t="s">
        <v>281</v>
      </c>
      <c r="E11" s="347" t="s">
        <v>282</v>
      </c>
      <c r="F11" s="348" t="s">
        <v>283</v>
      </c>
      <c r="G11" s="424" t="s">
        <v>353</v>
      </c>
      <c r="H11" s="354"/>
    </row>
    <row r="12" spans="1:8" ht="30" customHeight="1">
      <c r="B12" s="410"/>
      <c r="C12" s="356"/>
      <c r="D12" s="425" t="s">
        <v>286</v>
      </c>
      <c r="E12" s="356"/>
      <c r="F12" s="357"/>
      <c r="G12" s="426" t="s">
        <v>354</v>
      </c>
      <c r="H12" s="360"/>
    </row>
    <row r="13" spans="1:8" s="369" customFormat="1" ht="30" customHeight="1">
      <c r="A13" s="417"/>
      <c r="B13" s="427" t="s">
        <v>288</v>
      </c>
      <c r="C13" s="363" t="s">
        <v>355</v>
      </c>
      <c r="D13" s="363" t="s">
        <v>297</v>
      </c>
      <c r="E13" s="363" t="s">
        <v>291</v>
      </c>
      <c r="F13" s="363" t="s">
        <v>292</v>
      </c>
      <c r="G13" s="428">
        <v>119.07</v>
      </c>
      <c r="H13" s="429"/>
    </row>
    <row r="14" spans="1:8" s="369" customFormat="1" ht="30" customHeight="1">
      <c r="A14" s="417"/>
      <c r="B14" s="427" t="s">
        <v>300</v>
      </c>
      <c r="C14" s="363" t="s">
        <v>355</v>
      </c>
      <c r="D14" s="363" t="s">
        <v>297</v>
      </c>
      <c r="E14" s="430" t="s">
        <v>291</v>
      </c>
      <c r="F14" s="363" t="s">
        <v>303</v>
      </c>
      <c r="G14" s="428">
        <v>160.87</v>
      </c>
      <c r="H14" s="429"/>
    </row>
    <row r="15" spans="1:8" s="369" customFormat="1" ht="30" customHeight="1">
      <c r="A15" s="417"/>
      <c r="B15" s="361" t="s">
        <v>306</v>
      </c>
      <c r="C15" s="363" t="s">
        <v>355</v>
      </c>
      <c r="D15" s="363" t="s">
        <v>297</v>
      </c>
      <c r="E15" s="363" t="s">
        <v>291</v>
      </c>
      <c r="F15" s="363" t="s">
        <v>308</v>
      </c>
      <c r="G15" s="428">
        <v>143.29</v>
      </c>
      <c r="H15" s="429"/>
    </row>
    <row r="16" spans="1:8" s="369" customFormat="1" ht="30" customHeight="1">
      <c r="A16" s="417"/>
      <c r="B16" s="361" t="s">
        <v>314</v>
      </c>
      <c r="C16" s="363" t="s">
        <v>355</v>
      </c>
      <c r="D16" s="363" t="s">
        <v>316</v>
      </c>
      <c r="E16" s="363" t="s">
        <v>291</v>
      </c>
      <c r="F16" s="363" t="s">
        <v>317</v>
      </c>
      <c r="G16" s="428">
        <v>84.71</v>
      </c>
      <c r="H16" s="429"/>
    </row>
    <row r="17" spans="1:8" s="369" customFormat="1" ht="30" customHeight="1">
      <c r="A17" s="417"/>
      <c r="B17" s="370"/>
      <c r="C17" s="363" t="s">
        <v>355</v>
      </c>
      <c r="D17" s="363" t="s">
        <v>318</v>
      </c>
      <c r="E17" s="363" t="s">
        <v>291</v>
      </c>
      <c r="F17" s="363" t="s">
        <v>317</v>
      </c>
      <c r="G17" s="428">
        <v>90.76</v>
      </c>
      <c r="H17" s="429"/>
    </row>
    <row r="18" spans="1:8" s="369" customFormat="1" ht="30" customHeight="1">
      <c r="A18" s="417"/>
      <c r="B18" s="370"/>
      <c r="C18" s="363" t="s">
        <v>355</v>
      </c>
      <c r="D18" s="363" t="s">
        <v>319</v>
      </c>
      <c r="E18" s="363" t="s">
        <v>291</v>
      </c>
      <c r="F18" s="363" t="s">
        <v>317</v>
      </c>
      <c r="G18" s="428">
        <v>95.4</v>
      </c>
      <c r="H18" s="429"/>
    </row>
    <row r="19" spans="1:8" s="369" customFormat="1" ht="30" customHeight="1">
      <c r="A19" s="417"/>
      <c r="B19" s="370"/>
      <c r="C19" s="362" t="s">
        <v>355</v>
      </c>
      <c r="D19" s="431" t="s">
        <v>320</v>
      </c>
      <c r="E19" s="431" t="s">
        <v>291</v>
      </c>
      <c r="F19" s="431" t="s">
        <v>317</v>
      </c>
      <c r="G19" s="428">
        <v>85.27</v>
      </c>
      <c r="H19" s="429"/>
    </row>
    <row r="20" spans="1:8" s="369" customFormat="1" ht="30" customHeight="1" thickBot="1">
      <c r="A20" s="417"/>
      <c r="B20" s="432"/>
      <c r="C20" s="433" t="s">
        <v>355</v>
      </c>
      <c r="D20" s="433" t="s">
        <v>297</v>
      </c>
      <c r="E20" s="433" t="s">
        <v>291</v>
      </c>
      <c r="F20" s="434" t="s">
        <v>317</v>
      </c>
      <c r="G20" s="435">
        <v>84.96</v>
      </c>
      <c r="H20" s="429"/>
    </row>
    <row r="21" spans="1:8" s="369" customFormat="1" ht="30" customHeight="1">
      <c r="A21" s="417"/>
      <c r="B21" s="436"/>
      <c r="C21" s="437"/>
      <c r="D21" s="437"/>
      <c r="E21" s="437"/>
      <c r="F21" s="438"/>
      <c r="G21" s="439"/>
      <c r="H21" s="429"/>
    </row>
    <row r="22" spans="1:8" ht="17.25" customHeight="1">
      <c r="A22" s="421"/>
      <c r="B22" s="721" t="s">
        <v>322</v>
      </c>
      <c r="C22" s="721"/>
      <c r="D22" s="721"/>
      <c r="E22" s="721"/>
      <c r="F22" s="721"/>
      <c r="G22" s="721"/>
      <c r="H22" s="423"/>
    </row>
    <row r="23" spans="1:8" s="369" customFormat="1" ht="4.5" customHeight="1" thickBot="1">
      <c r="A23" s="417"/>
      <c r="B23" s="436"/>
      <c r="C23" s="440"/>
      <c r="D23" s="440"/>
      <c r="E23" s="440"/>
      <c r="F23" s="440"/>
      <c r="G23" s="440"/>
    </row>
    <row r="24" spans="1:8" s="369" customFormat="1" ht="30" customHeight="1">
      <c r="A24" s="417"/>
      <c r="B24" s="441" t="s">
        <v>232</v>
      </c>
      <c r="C24" s="442" t="s">
        <v>280</v>
      </c>
      <c r="D24" s="443" t="s">
        <v>281</v>
      </c>
      <c r="E24" s="442" t="s">
        <v>282</v>
      </c>
      <c r="F24" s="443" t="s">
        <v>283</v>
      </c>
      <c r="G24" s="444" t="s">
        <v>353</v>
      </c>
      <c r="H24" s="445"/>
    </row>
    <row r="25" spans="1:8" s="369" customFormat="1" ht="30" customHeight="1">
      <c r="A25" s="417"/>
      <c r="B25" s="446"/>
      <c r="C25" s="447"/>
      <c r="D25" s="425" t="s">
        <v>286</v>
      </c>
      <c r="E25" s="447"/>
      <c r="F25" s="425" t="s">
        <v>356</v>
      </c>
      <c r="G25" s="426" t="s">
        <v>354</v>
      </c>
      <c r="H25" s="448"/>
    </row>
    <row r="26" spans="1:8" s="369" customFormat="1" ht="30" customHeight="1">
      <c r="A26" s="417"/>
      <c r="B26" s="449" t="s">
        <v>323</v>
      </c>
      <c r="C26" s="450" t="s">
        <v>355</v>
      </c>
      <c r="D26" s="450" t="s">
        <v>325</v>
      </c>
      <c r="E26" s="450" t="s">
        <v>291</v>
      </c>
      <c r="F26" s="451" t="s">
        <v>326</v>
      </c>
      <c r="G26" s="452">
        <v>119.37</v>
      </c>
      <c r="H26" s="448"/>
    </row>
    <row r="27" spans="1:8" s="369" customFormat="1" ht="30" customHeight="1">
      <c r="A27" s="417"/>
      <c r="B27" s="453"/>
      <c r="C27" s="450" t="s">
        <v>355</v>
      </c>
      <c r="D27" s="450" t="s">
        <v>329</v>
      </c>
      <c r="E27" s="450" t="s">
        <v>291</v>
      </c>
      <c r="F27" s="451" t="s">
        <v>326</v>
      </c>
      <c r="G27" s="452">
        <v>119.44</v>
      </c>
      <c r="H27" s="429"/>
    </row>
    <row r="28" spans="1:8" s="369" customFormat="1" ht="30" customHeight="1">
      <c r="A28" s="417"/>
      <c r="B28" s="453"/>
      <c r="C28" s="450" t="s">
        <v>355</v>
      </c>
      <c r="D28" s="450" t="s">
        <v>330</v>
      </c>
      <c r="E28" s="450" t="s">
        <v>291</v>
      </c>
      <c r="F28" s="451" t="s">
        <v>326</v>
      </c>
      <c r="G28" s="452">
        <v>106.57</v>
      </c>
      <c r="H28" s="429"/>
    </row>
    <row r="29" spans="1:8" s="369" customFormat="1" ht="30" customHeight="1">
      <c r="A29" s="417"/>
      <c r="B29" s="453"/>
      <c r="C29" s="450" t="s">
        <v>355</v>
      </c>
      <c r="D29" s="450" t="s">
        <v>332</v>
      </c>
      <c r="E29" s="450" t="s">
        <v>291</v>
      </c>
      <c r="F29" s="451" t="s">
        <v>326</v>
      </c>
      <c r="G29" s="452">
        <v>110.1</v>
      </c>
      <c r="H29" s="429"/>
    </row>
    <row r="30" spans="1:8" s="369" customFormat="1" ht="30" customHeight="1">
      <c r="A30" s="417"/>
      <c r="B30" s="453"/>
      <c r="C30" s="450" t="s">
        <v>355</v>
      </c>
      <c r="D30" s="450" t="s">
        <v>357</v>
      </c>
      <c r="E30" s="450" t="s">
        <v>291</v>
      </c>
      <c r="F30" s="451" t="s">
        <v>326</v>
      </c>
      <c r="G30" s="452">
        <v>134</v>
      </c>
      <c r="H30" s="429"/>
    </row>
    <row r="31" spans="1:8" s="369" customFormat="1" ht="30" customHeight="1">
      <c r="A31" s="417"/>
      <c r="B31" s="449" t="s">
        <v>335</v>
      </c>
      <c r="C31" s="450" t="s">
        <v>355</v>
      </c>
      <c r="D31" s="450" t="s">
        <v>336</v>
      </c>
      <c r="E31" s="450" t="s">
        <v>291</v>
      </c>
      <c r="F31" s="451" t="s">
        <v>337</v>
      </c>
      <c r="G31" s="452">
        <v>115.99</v>
      </c>
      <c r="H31" s="429"/>
    </row>
    <row r="32" spans="1:8" s="369" customFormat="1" ht="30" customHeight="1">
      <c r="A32" s="417"/>
      <c r="B32" s="453"/>
      <c r="C32" s="454" t="s">
        <v>355</v>
      </c>
      <c r="D32" s="454" t="s">
        <v>339</v>
      </c>
      <c r="E32" s="454" t="s">
        <v>291</v>
      </c>
      <c r="F32" s="455" t="s">
        <v>340</v>
      </c>
      <c r="G32" s="456">
        <v>166.29</v>
      </c>
      <c r="H32" s="429"/>
    </row>
    <row r="33" spans="1:8" s="369" customFormat="1" ht="30" customHeight="1" thickBot="1">
      <c r="A33" s="417"/>
      <c r="B33" s="432"/>
      <c r="C33" s="457" t="s">
        <v>355</v>
      </c>
      <c r="D33" s="457" t="s">
        <v>343</v>
      </c>
      <c r="E33" s="457" t="s">
        <v>291</v>
      </c>
      <c r="F33" s="458" t="s">
        <v>358</v>
      </c>
      <c r="G33" s="459">
        <v>142.44</v>
      </c>
      <c r="H33" s="429"/>
    </row>
    <row r="34" spans="1:8">
      <c r="G34" s="334"/>
    </row>
    <row r="35" spans="1:8" ht="17.25" customHeight="1">
      <c r="A35" s="421"/>
      <c r="B35" s="721" t="s">
        <v>344</v>
      </c>
      <c r="C35" s="721"/>
      <c r="D35" s="721"/>
      <c r="E35" s="721"/>
      <c r="F35" s="721"/>
      <c r="G35" s="721"/>
      <c r="H35" s="423"/>
    </row>
    <row r="36" spans="1:8" s="369" customFormat="1" ht="5.25" customHeight="1" thickBot="1">
      <c r="A36" s="417"/>
      <c r="B36" s="436"/>
      <c r="C36" s="440"/>
      <c r="D36" s="440"/>
      <c r="E36" s="440"/>
      <c r="F36" s="440"/>
      <c r="G36" s="440"/>
    </row>
    <row r="37" spans="1:8" s="369" customFormat="1" ht="30" customHeight="1">
      <c r="A37" s="417"/>
      <c r="B37" s="441" t="s">
        <v>232</v>
      </c>
      <c r="C37" s="442" t="s">
        <v>280</v>
      </c>
      <c r="D37" s="443" t="s">
        <v>281</v>
      </c>
      <c r="E37" s="442" t="s">
        <v>282</v>
      </c>
      <c r="F37" s="443" t="s">
        <v>283</v>
      </c>
      <c r="G37" s="444" t="s">
        <v>353</v>
      </c>
      <c r="H37" s="445"/>
    </row>
    <row r="38" spans="1:8" s="369" customFormat="1" ht="30" customHeight="1">
      <c r="A38" s="417"/>
      <c r="B38" s="446"/>
      <c r="C38" s="447"/>
      <c r="D38" s="425" t="s">
        <v>286</v>
      </c>
      <c r="E38" s="447"/>
      <c r="F38" s="425"/>
      <c r="G38" s="426" t="s">
        <v>354</v>
      </c>
      <c r="H38" s="448"/>
    </row>
    <row r="39" spans="1:8" s="369" customFormat="1" ht="30" customHeight="1">
      <c r="A39" s="417"/>
      <c r="B39" s="460" t="s">
        <v>345</v>
      </c>
      <c r="C39" s="461" t="s">
        <v>355</v>
      </c>
      <c r="D39" s="462" t="s">
        <v>347</v>
      </c>
      <c r="E39" s="462" t="s">
        <v>106</v>
      </c>
      <c r="F39" s="462" t="s">
        <v>106</v>
      </c>
      <c r="G39" s="463">
        <v>250.09</v>
      </c>
      <c r="H39" s="448"/>
    </row>
    <row r="40" spans="1:8" s="369" customFormat="1" ht="30" customHeight="1" thickBot="1">
      <c r="A40" s="417"/>
      <c r="B40" s="464" t="s">
        <v>348</v>
      </c>
      <c r="C40" s="465" t="s">
        <v>355</v>
      </c>
      <c r="D40" s="466" t="s">
        <v>359</v>
      </c>
      <c r="E40" s="466" t="s">
        <v>291</v>
      </c>
      <c r="F40" s="466" t="s">
        <v>106</v>
      </c>
      <c r="G40" s="467">
        <v>198.22</v>
      </c>
      <c r="H40" s="448"/>
    </row>
    <row r="41" spans="1:8">
      <c r="G41" s="100" t="s">
        <v>68</v>
      </c>
    </row>
  </sheetData>
  <mergeCells count="7">
    <mergeCell ref="B35:G35"/>
    <mergeCell ref="B5:G5"/>
    <mergeCell ref="B6:G6"/>
    <mergeCell ref="B7:G7"/>
    <mergeCell ref="B8:G8"/>
    <mergeCell ref="B9:G9"/>
    <mergeCell ref="B22:G2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9" orientation="portrait" r:id="rId1"/>
  <headerFooter scaleWithDoc="0" alignWithMargins="0">
    <oddHeader>&amp;R&amp;"Verdana,Normal"&amp;8 15</oddHeader>
    <oddFooter>&amp;R&amp;"Verdana,Cursiva"&amp;8Subdirección General de Análisis, Coordinación y Estadística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E0E0A-F343-44FA-BE00-27DAE320FC13}">
  <sheetPr>
    <pageSetUpPr fitToPage="1"/>
  </sheetPr>
  <dimension ref="A1:P92"/>
  <sheetViews>
    <sheetView zoomScale="90" zoomScaleNormal="90" zoomScaleSheetLayoutView="100" workbookViewId="0"/>
  </sheetViews>
  <sheetFormatPr baseColWidth="10" defaultColWidth="14.453125" defaultRowHeight="16.399999999999999" customHeight="1"/>
  <cols>
    <col min="1" max="1" width="0.54296875" style="468" customWidth="1"/>
    <col min="2" max="2" width="22.453125" style="469" customWidth="1"/>
    <col min="3" max="3" width="15.54296875" style="469" bestFit="1" customWidth="1"/>
    <col min="4" max="4" width="51.54296875" style="469" bestFit="1" customWidth="1"/>
    <col min="5" max="5" width="13.453125" style="469" customWidth="1"/>
    <col min="6" max="6" width="18.90625" style="469" bestFit="1" customWidth="1"/>
    <col min="7" max="14" width="17.54296875" style="469" customWidth="1"/>
    <col min="15" max="15" width="1.54296875" style="334" customWidth="1"/>
    <col min="16" max="16" width="12.453125" style="334" bestFit="1" customWidth="1"/>
    <col min="17" max="16384" width="14.453125" style="334"/>
  </cols>
  <sheetData>
    <row r="1" spans="1:16" ht="9.75" customHeight="1"/>
    <row r="2" spans="1:16" ht="6.75" customHeight="1">
      <c r="B2" s="470"/>
      <c r="C2" s="470"/>
      <c r="D2" s="470"/>
      <c r="E2" s="470"/>
      <c r="F2" s="470"/>
      <c r="G2" s="470"/>
      <c r="K2" s="337"/>
      <c r="L2" s="337"/>
      <c r="M2" s="337"/>
      <c r="N2" s="337"/>
    </row>
    <row r="3" spans="1:16" ht="3.75" customHeight="1">
      <c r="B3" s="470"/>
      <c r="C3" s="470"/>
      <c r="D3" s="470"/>
      <c r="E3" s="470"/>
      <c r="F3" s="470"/>
      <c r="G3" s="470"/>
    </row>
    <row r="4" spans="1:16" ht="29.25" customHeight="1" thickBot="1">
      <c r="B4" s="713" t="s">
        <v>360</v>
      </c>
      <c r="C4" s="713"/>
      <c r="D4" s="713"/>
      <c r="E4" s="713"/>
      <c r="F4" s="713"/>
      <c r="G4" s="713"/>
      <c r="H4" s="713"/>
      <c r="I4" s="713"/>
      <c r="J4" s="713"/>
      <c r="K4" s="713"/>
      <c r="L4" s="713"/>
      <c r="M4" s="713"/>
      <c r="N4" s="713"/>
    </row>
    <row r="5" spans="1:16" ht="16.399999999999999" customHeight="1">
      <c r="B5" s="714" t="s">
        <v>361</v>
      </c>
      <c r="C5" s="715"/>
      <c r="D5" s="715"/>
      <c r="E5" s="715"/>
      <c r="F5" s="715"/>
      <c r="G5" s="715"/>
      <c r="H5" s="715"/>
      <c r="I5" s="715"/>
      <c r="J5" s="715"/>
      <c r="K5" s="715"/>
      <c r="L5" s="715"/>
      <c r="M5" s="715"/>
      <c r="N5" s="716"/>
    </row>
    <row r="6" spans="1:16" ht="16.399999999999999" customHeight="1" thickBot="1">
      <c r="B6" s="717" t="s">
        <v>277</v>
      </c>
      <c r="C6" s="718"/>
      <c r="D6" s="718"/>
      <c r="E6" s="718"/>
      <c r="F6" s="718"/>
      <c r="G6" s="718"/>
      <c r="H6" s="718"/>
      <c r="I6" s="718"/>
      <c r="J6" s="718"/>
      <c r="K6" s="718"/>
      <c r="L6" s="718"/>
      <c r="M6" s="718"/>
      <c r="N6" s="719"/>
    </row>
    <row r="7" spans="1:16" ht="16.399999999999999" customHeight="1">
      <c r="B7" s="725"/>
      <c r="C7" s="725"/>
      <c r="D7" s="725"/>
      <c r="E7" s="725"/>
      <c r="F7" s="725"/>
      <c r="G7" s="725"/>
      <c r="H7" s="725"/>
      <c r="I7" s="725"/>
      <c r="J7" s="725"/>
      <c r="K7" s="725"/>
      <c r="L7" s="725"/>
      <c r="M7" s="725"/>
      <c r="N7" s="725"/>
    </row>
    <row r="8" spans="1:16" ht="16.399999999999999" customHeight="1">
      <c r="B8" s="720" t="s">
        <v>278</v>
      </c>
      <c r="C8" s="720"/>
      <c r="D8" s="720"/>
      <c r="E8" s="720"/>
      <c r="F8" s="720"/>
      <c r="G8" s="720"/>
      <c r="H8" s="720"/>
      <c r="I8" s="720"/>
      <c r="J8" s="720"/>
      <c r="K8" s="720"/>
      <c r="L8" s="720"/>
      <c r="M8" s="720"/>
      <c r="N8" s="720"/>
    </row>
    <row r="9" spans="1:16" ht="24.75" customHeight="1">
      <c r="A9" s="332"/>
      <c r="B9" s="343" t="s">
        <v>92</v>
      </c>
      <c r="C9" s="343"/>
      <c r="D9" s="343"/>
      <c r="E9" s="343"/>
      <c r="F9" s="343"/>
      <c r="G9" s="343"/>
      <c r="H9" s="343"/>
      <c r="I9" s="343"/>
      <c r="J9" s="343"/>
      <c r="K9" s="343"/>
      <c r="L9" s="343"/>
      <c r="M9" s="343"/>
      <c r="N9" s="343"/>
      <c r="O9" s="341"/>
    </row>
    <row r="10" spans="1:16" ht="3" customHeight="1" thickBot="1"/>
    <row r="11" spans="1:16" ht="22.4" customHeight="1">
      <c r="B11" s="346" t="s">
        <v>232</v>
      </c>
      <c r="C11" s="347" t="s">
        <v>280</v>
      </c>
      <c r="D11" s="348" t="s">
        <v>281</v>
      </c>
      <c r="E11" s="347" t="s">
        <v>282</v>
      </c>
      <c r="F11" s="348" t="s">
        <v>283</v>
      </c>
      <c r="G11" s="349" t="s">
        <v>284</v>
      </c>
      <c r="H11" s="350"/>
      <c r="I11" s="351"/>
      <c r="J11" s="350" t="s">
        <v>285</v>
      </c>
      <c r="K11" s="350"/>
      <c r="L11" s="352"/>
      <c r="M11" s="352"/>
      <c r="N11" s="353"/>
    </row>
    <row r="12" spans="1:16" ht="16.399999999999999" customHeight="1">
      <c r="B12" s="410"/>
      <c r="C12" s="356"/>
      <c r="D12" s="357" t="s">
        <v>286</v>
      </c>
      <c r="E12" s="356"/>
      <c r="F12" s="357"/>
      <c r="G12" s="358">
        <v>46027</v>
      </c>
      <c r="H12" s="358">
        <v>46028</v>
      </c>
      <c r="I12" s="358">
        <v>46029</v>
      </c>
      <c r="J12" s="358">
        <v>46030</v>
      </c>
      <c r="K12" s="358">
        <v>46031</v>
      </c>
      <c r="L12" s="358">
        <v>46032</v>
      </c>
      <c r="M12" s="358">
        <v>46033</v>
      </c>
      <c r="N12" s="471" t="s">
        <v>287</v>
      </c>
    </row>
    <row r="13" spans="1:16" ht="20.149999999999999" customHeight="1">
      <c r="B13" s="472" t="s">
        <v>362</v>
      </c>
      <c r="C13" s="473" t="s">
        <v>363</v>
      </c>
      <c r="D13" s="473" t="s">
        <v>364</v>
      </c>
      <c r="E13" s="473" t="s">
        <v>106</v>
      </c>
      <c r="F13" s="473" t="s">
        <v>106</v>
      </c>
      <c r="G13" s="474">
        <v>123.29</v>
      </c>
      <c r="H13" s="474" t="s">
        <v>249</v>
      </c>
      <c r="I13" s="474">
        <v>123.29</v>
      </c>
      <c r="J13" s="474">
        <v>123.29</v>
      </c>
      <c r="K13" s="474">
        <v>123.29</v>
      </c>
      <c r="L13" s="474" t="s">
        <v>249</v>
      </c>
      <c r="M13" s="475" t="s">
        <v>249</v>
      </c>
      <c r="N13" s="476">
        <v>123.29</v>
      </c>
      <c r="P13" s="477"/>
    </row>
    <row r="14" spans="1:16" ht="20.149999999999999" customHeight="1">
      <c r="B14" s="478"/>
      <c r="C14" s="473" t="s">
        <v>331</v>
      </c>
      <c r="D14" s="473" t="s">
        <v>364</v>
      </c>
      <c r="E14" s="473" t="s">
        <v>106</v>
      </c>
      <c r="F14" s="473" t="s">
        <v>106</v>
      </c>
      <c r="G14" s="474">
        <v>93</v>
      </c>
      <c r="H14" s="474" t="s">
        <v>249</v>
      </c>
      <c r="I14" s="474">
        <v>93</v>
      </c>
      <c r="J14" s="474">
        <v>93</v>
      </c>
      <c r="K14" s="474">
        <v>93</v>
      </c>
      <c r="L14" s="474" t="s">
        <v>249</v>
      </c>
      <c r="M14" s="475" t="s">
        <v>249</v>
      </c>
      <c r="N14" s="476">
        <v>93</v>
      </c>
      <c r="P14" s="477"/>
    </row>
    <row r="15" spans="1:16" ht="20.149999999999999" customHeight="1">
      <c r="B15" s="472" t="s">
        <v>365</v>
      </c>
      <c r="C15" s="473" t="s">
        <v>366</v>
      </c>
      <c r="D15" s="473" t="s">
        <v>367</v>
      </c>
      <c r="E15" s="473" t="s">
        <v>106</v>
      </c>
      <c r="F15" s="473" t="s">
        <v>368</v>
      </c>
      <c r="G15" s="474">
        <v>250</v>
      </c>
      <c r="H15" s="474">
        <v>250</v>
      </c>
      <c r="I15" s="474">
        <v>250</v>
      </c>
      <c r="J15" s="474" t="s">
        <v>249</v>
      </c>
      <c r="K15" s="474">
        <v>250</v>
      </c>
      <c r="L15" s="474" t="s">
        <v>249</v>
      </c>
      <c r="M15" s="475" t="s">
        <v>249</v>
      </c>
      <c r="N15" s="476">
        <v>250</v>
      </c>
      <c r="P15" s="477"/>
    </row>
    <row r="16" spans="1:16" ht="20.149999999999999" customHeight="1">
      <c r="B16" s="479"/>
      <c r="C16" s="473" t="s">
        <v>369</v>
      </c>
      <c r="D16" s="473" t="s">
        <v>367</v>
      </c>
      <c r="E16" s="473" t="s">
        <v>106</v>
      </c>
      <c r="F16" s="473" t="s">
        <v>368</v>
      </c>
      <c r="G16" s="474">
        <v>208.3</v>
      </c>
      <c r="H16" s="474" t="s">
        <v>249</v>
      </c>
      <c r="I16" s="474">
        <v>208.3</v>
      </c>
      <c r="J16" s="474">
        <v>208.3</v>
      </c>
      <c r="K16" s="474">
        <v>208.3</v>
      </c>
      <c r="L16" s="474" t="s">
        <v>249</v>
      </c>
      <c r="M16" s="475" t="s">
        <v>249</v>
      </c>
      <c r="N16" s="476">
        <v>208.3</v>
      </c>
      <c r="P16" s="477"/>
    </row>
    <row r="17" spans="1:16" ht="20.149999999999999" customHeight="1">
      <c r="B17" s="479"/>
      <c r="C17" s="473" t="s">
        <v>366</v>
      </c>
      <c r="D17" s="473" t="s">
        <v>370</v>
      </c>
      <c r="E17" s="473" t="s">
        <v>106</v>
      </c>
      <c r="F17" s="473" t="s">
        <v>371</v>
      </c>
      <c r="G17" s="474">
        <v>280</v>
      </c>
      <c r="H17" s="474">
        <v>280</v>
      </c>
      <c r="I17" s="474">
        <v>280</v>
      </c>
      <c r="J17" s="474" t="s">
        <v>249</v>
      </c>
      <c r="K17" s="474">
        <v>280</v>
      </c>
      <c r="L17" s="474" t="s">
        <v>249</v>
      </c>
      <c r="M17" s="475" t="s">
        <v>249</v>
      </c>
      <c r="N17" s="476">
        <v>280</v>
      </c>
      <c r="P17" s="477"/>
    </row>
    <row r="18" spans="1:16" ht="20.149999999999999" customHeight="1">
      <c r="B18" s="479"/>
      <c r="C18" s="473" t="s">
        <v>315</v>
      </c>
      <c r="D18" s="473" t="s">
        <v>370</v>
      </c>
      <c r="E18" s="473" t="s">
        <v>106</v>
      </c>
      <c r="F18" s="473" t="s">
        <v>371</v>
      </c>
      <c r="G18" s="474">
        <v>326.16000000000003</v>
      </c>
      <c r="H18" s="474" t="s">
        <v>249</v>
      </c>
      <c r="I18" s="474">
        <v>326.16000000000003</v>
      </c>
      <c r="J18" s="474">
        <v>326.16000000000003</v>
      </c>
      <c r="K18" s="474">
        <v>326.16000000000003</v>
      </c>
      <c r="L18" s="474" t="s">
        <v>249</v>
      </c>
      <c r="M18" s="475" t="s">
        <v>249</v>
      </c>
      <c r="N18" s="476">
        <v>326.14999999999998</v>
      </c>
      <c r="P18" s="477"/>
    </row>
    <row r="19" spans="1:16" ht="20.149999999999999" customHeight="1">
      <c r="B19" s="479"/>
      <c r="C19" s="473" t="s">
        <v>369</v>
      </c>
      <c r="D19" s="473" t="s">
        <v>370</v>
      </c>
      <c r="E19" s="473" t="s">
        <v>106</v>
      </c>
      <c r="F19" s="473" t="s">
        <v>371</v>
      </c>
      <c r="G19" s="474">
        <v>383.25</v>
      </c>
      <c r="H19" s="474" t="s">
        <v>249</v>
      </c>
      <c r="I19" s="474">
        <v>383.25</v>
      </c>
      <c r="J19" s="474">
        <v>383.25</v>
      </c>
      <c r="K19" s="474">
        <v>383.25</v>
      </c>
      <c r="L19" s="474" t="s">
        <v>249</v>
      </c>
      <c r="M19" s="475" t="s">
        <v>249</v>
      </c>
      <c r="N19" s="476">
        <v>383.25</v>
      </c>
      <c r="P19" s="477"/>
    </row>
    <row r="20" spans="1:16" ht="20.149999999999999" customHeight="1">
      <c r="B20" s="479"/>
      <c r="C20" s="473" t="s">
        <v>363</v>
      </c>
      <c r="D20" s="473" t="s">
        <v>370</v>
      </c>
      <c r="E20" s="473" t="s">
        <v>106</v>
      </c>
      <c r="F20" s="473" t="s">
        <v>371</v>
      </c>
      <c r="G20" s="474">
        <v>350</v>
      </c>
      <c r="H20" s="474" t="s">
        <v>249</v>
      </c>
      <c r="I20" s="474">
        <v>350</v>
      </c>
      <c r="J20" s="474">
        <v>350</v>
      </c>
      <c r="K20" s="474">
        <v>350</v>
      </c>
      <c r="L20" s="474" t="s">
        <v>249</v>
      </c>
      <c r="M20" s="475" t="s">
        <v>249</v>
      </c>
      <c r="N20" s="476">
        <v>350</v>
      </c>
      <c r="P20" s="477"/>
    </row>
    <row r="21" spans="1:16" ht="20.149999999999999" customHeight="1">
      <c r="B21" s="479"/>
      <c r="C21" s="473" t="s">
        <v>366</v>
      </c>
      <c r="D21" s="473" t="s">
        <v>372</v>
      </c>
      <c r="E21" s="473" t="s">
        <v>106</v>
      </c>
      <c r="F21" s="473" t="s">
        <v>368</v>
      </c>
      <c r="G21" s="474">
        <v>245</v>
      </c>
      <c r="H21" s="474">
        <v>245</v>
      </c>
      <c r="I21" s="474">
        <v>245</v>
      </c>
      <c r="J21" s="474">
        <v>245</v>
      </c>
      <c r="K21" s="474">
        <v>245</v>
      </c>
      <c r="L21" s="474" t="s">
        <v>249</v>
      </c>
      <c r="M21" s="475" t="s">
        <v>249</v>
      </c>
      <c r="N21" s="476">
        <v>245</v>
      </c>
      <c r="P21" s="477"/>
    </row>
    <row r="22" spans="1:16" ht="20.149999999999999" customHeight="1">
      <c r="B22" s="479"/>
      <c r="C22" s="480" t="s">
        <v>315</v>
      </c>
      <c r="D22" s="473" t="s">
        <v>372</v>
      </c>
      <c r="E22" s="480" t="s">
        <v>106</v>
      </c>
      <c r="F22" s="480" t="s">
        <v>368</v>
      </c>
      <c r="G22" s="364">
        <v>289.06</v>
      </c>
      <c r="H22" s="364" t="s">
        <v>249</v>
      </c>
      <c r="I22" s="364">
        <v>289.06</v>
      </c>
      <c r="J22" s="364">
        <v>289.06</v>
      </c>
      <c r="K22" s="364">
        <v>289.06</v>
      </c>
      <c r="L22" s="364" t="s">
        <v>249</v>
      </c>
      <c r="M22" s="481" t="s">
        <v>249</v>
      </c>
      <c r="N22" s="482">
        <v>289.06</v>
      </c>
      <c r="P22" s="477"/>
    </row>
    <row r="23" spans="1:16" ht="20.149999999999999" customHeight="1">
      <c r="B23" s="479"/>
      <c r="C23" s="480" t="s">
        <v>369</v>
      </c>
      <c r="D23" s="473" t="s">
        <v>372</v>
      </c>
      <c r="E23" s="480" t="s">
        <v>106</v>
      </c>
      <c r="F23" s="480" t="s">
        <v>368</v>
      </c>
      <c r="G23" s="364">
        <v>187.5</v>
      </c>
      <c r="H23" s="364" t="s">
        <v>249</v>
      </c>
      <c r="I23" s="364">
        <v>187.5</v>
      </c>
      <c r="J23" s="364">
        <v>187.5</v>
      </c>
      <c r="K23" s="364">
        <v>187.5</v>
      </c>
      <c r="L23" s="364" t="s">
        <v>249</v>
      </c>
      <c r="M23" s="481" t="s">
        <v>249</v>
      </c>
      <c r="N23" s="482">
        <v>187.5</v>
      </c>
      <c r="P23" s="477"/>
    </row>
    <row r="24" spans="1:16" ht="20.149999999999999" customHeight="1">
      <c r="B24" s="472" t="s">
        <v>373</v>
      </c>
      <c r="C24" s="480" t="s">
        <v>305</v>
      </c>
      <c r="D24" s="480" t="s">
        <v>364</v>
      </c>
      <c r="E24" s="480" t="s">
        <v>106</v>
      </c>
      <c r="F24" s="480" t="s">
        <v>106</v>
      </c>
      <c r="G24" s="364">
        <v>180</v>
      </c>
      <c r="H24" s="364" t="s">
        <v>249</v>
      </c>
      <c r="I24" s="364">
        <v>177</v>
      </c>
      <c r="J24" s="364">
        <v>169</v>
      </c>
      <c r="K24" s="364">
        <v>152</v>
      </c>
      <c r="L24" s="364" t="s">
        <v>249</v>
      </c>
      <c r="M24" s="481" t="s">
        <v>249</v>
      </c>
      <c r="N24" s="482">
        <v>170.75</v>
      </c>
      <c r="P24" s="477"/>
    </row>
    <row r="25" spans="1:16" ht="20.149999999999999" customHeight="1">
      <c r="B25" s="478"/>
      <c r="C25" s="480" t="s">
        <v>331</v>
      </c>
      <c r="D25" s="480" t="s">
        <v>364</v>
      </c>
      <c r="E25" s="480" t="s">
        <v>106</v>
      </c>
      <c r="F25" s="480" t="s">
        <v>106</v>
      </c>
      <c r="G25" s="364">
        <v>358</v>
      </c>
      <c r="H25" s="364" t="s">
        <v>249</v>
      </c>
      <c r="I25" s="364">
        <v>358</v>
      </c>
      <c r="J25" s="364">
        <v>358</v>
      </c>
      <c r="K25" s="364">
        <v>358</v>
      </c>
      <c r="L25" s="364" t="s">
        <v>249</v>
      </c>
      <c r="M25" s="481" t="s">
        <v>249</v>
      </c>
      <c r="N25" s="482">
        <v>358</v>
      </c>
      <c r="P25" s="477"/>
    </row>
    <row r="26" spans="1:16" ht="20.149999999999999" customHeight="1">
      <c r="B26" s="483" t="s">
        <v>374</v>
      </c>
      <c r="C26" s="480" t="s">
        <v>305</v>
      </c>
      <c r="D26" s="480" t="s">
        <v>375</v>
      </c>
      <c r="E26" s="480" t="s">
        <v>106</v>
      </c>
      <c r="F26" s="480" t="s">
        <v>106</v>
      </c>
      <c r="G26" s="364">
        <v>112</v>
      </c>
      <c r="H26" s="364" t="s">
        <v>249</v>
      </c>
      <c r="I26" s="364">
        <v>107</v>
      </c>
      <c r="J26" s="364">
        <v>101</v>
      </c>
      <c r="K26" s="364">
        <v>98</v>
      </c>
      <c r="L26" s="364" t="s">
        <v>249</v>
      </c>
      <c r="M26" s="481" t="s">
        <v>249</v>
      </c>
      <c r="N26" s="482">
        <v>103.99</v>
      </c>
      <c r="P26" s="477"/>
    </row>
    <row r="27" spans="1:16" ht="20.149999999999999" customHeight="1">
      <c r="B27" s="472" t="s">
        <v>376</v>
      </c>
      <c r="C27" s="480" t="s">
        <v>313</v>
      </c>
      <c r="D27" s="480" t="s">
        <v>364</v>
      </c>
      <c r="E27" s="480" t="s">
        <v>106</v>
      </c>
      <c r="F27" s="431" t="s">
        <v>377</v>
      </c>
      <c r="G27" s="364">
        <v>252.92</v>
      </c>
      <c r="H27" s="364" t="s">
        <v>249</v>
      </c>
      <c r="I27" s="364">
        <v>263.91000000000003</v>
      </c>
      <c r="J27" s="364">
        <v>229.96</v>
      </c>
      <c r="K27" s="364">
        <v>210.98</v>
      </c>
      <c r="L27" s="364">
        <v>193.03</v>
      </c>
      <c r="M27" s="481" t="s">
        <v>249</v>
      </c>
      <c r="N27" s="482">
        <v>232.13</v>
      </c>
      <c r="P27" s="477"/>
    </row>
    <row r="28" spans="1:16" ht="20.149999999999999" customHeight="1">
      <c r="B28" s="472" t="s">
        <v>378</v>
      </c>
      <c r="C28" s="480" t="s">
        <v>305</v>
      </c>
      <c r="D28" s="431" t="s">
        <v>364</v>
      </c>
      <c r="E28" s="480" t="s">
        <v>106</v>
      </c>
      <c r="F28" s="480" t="s">
        <v>106</v>
      </c>
      <c r="G28" s="364">
        <v>128</v>
      </c>
      <c r="H28" s="364" t="s">
        <v>249</v>
      </c>
      <c r="I28" s="364">
        <v>115</v>
      </c>
      <c r="J28" s="364">
        <v>112</v>
      </c>
      <c r="K28" s="364">
        <v>107</v>
      </c>
      <c r="L28" s="364" t="s">
        <v>249</v>
      </c>
      <c r="M28" s="481" t="s">
        <v>249</v>
      </c>
      <c r="N28" s="482">
        <v>114.97</v>
      </c>
      <c r="P28" s="477"/>
    </row>
    <row r="29" spans="1:16" ht="20.149999999999999" customHeight="1">
      <c r="B29" s="478"/>
      <c r="C29" s="480" t="s">
        <v>331</v>
      </c>
      <c r="D29" s="431" t="s">
        <v>364</v>
      </c>
      <c r="E29" s="480" t="s">
        <v>106</v>
      </c>
      <c r="F29" s="480" t="s">
        <v>106</v>
      </c>
      <c r="G29" s="364">
        <v>123</v>
      </c>
      <c r="H29" s="364" t="s">
        <v>249</v>
      </c>
      <c r="I29" s="364">
        <v>123</v>
      </c>
      <c r="J29" s="364">
        <v>123</v>
      </c>
      <c r="K29" s="364">
        <v>123</v>
      </c>
      <c r="L29" s="364" t="s">
        <v>249</v>
      </c>
      <c r="M29" s="481" t="s">
        <v>249</v>
      </c>
      <c r="N29" s="482">
        <v>123</v>
      </c>
      <c r="P29" s="477"/>
    </row>
    <row r="30" spans="1:16" ht="20.149999999999999" customHeight="1">
      <c r="B30" s="472" t="s">
        <v>379</v>
      </c>
      <c r="C30" s="480" t="s">
        <v>313</v>
      </c>
      <c r="D30" s="480" t="s">
        <v>297</v>
      </c>
      <c r="E30" s="480" t="s">
        <v>106</v>
      </c>
      <c r="F30" s="480" t="s">
        <v>380</v>
      </c>
      <c r="G30" s="364">
        <v>158.5</v>
      </c>
      <c r="H30" s="364" t="s">
        <v>249</v>
      </c>
      <c r="I30" s="364">
        <v>231.5</v>
      </c>
      <c r="J30" s="364">
        <v>244</v>
      </c>
      <c r="K30" s="364">
        <v>290.5</v>
      </c>
      <c r="L30" s="364">
        <v>282</v>
      </c>
      <c r="M30" s="481" t="s">
        <v>249</v>
      </c>
      <c r="N30" s="482">
        <v>226.18</v>
      </c>
      <c r="P30" s="477"/>
    </row>
    <row r="31" spans="1:16" s="488" customFormat="1" ht="20.149999999999999" customHeight="1">
      <c r="A31" s="484"/>
      <c r="B31" s="478"/>
      <c r="C31" s="480" t="s">
        <v>305</v>
      </c>
      <c r="D31" s="480" t="s">
        <v>297</v>
      </c>
      <c r="E31" s="480" t="s">
        <v>106</v>
      </c>
      <c r="F31" s="480" t="s">
        <v>380</v>
      </c>
      <c r="G31" s="485">
        <v>175</v>
      </c>
      <c r="H31" s="485" t="s">
        <v>249</v>
      </c>
      <c r="I31" s="485">
        <v>144</v>
      </c>
      <c r="J31" s="485">
        <v>138</v>
      </c>
      <c r="K31" s="485">
        <v>121</v>
      </c>
      <c r="L31" s="485" t="s">
        <v>249</v>
      </c>
      <c r="M31" s="486" t="s">
        <v>249</v>
      </c>
      <c r="N31" s="487">
        <v>146.32</v>
      </c>
      <c r="P31" s="489"/>
    </row>
    <row r="32" spans="1:16" s="488" customFormat="1" ht="20.149999999999999" customHeight="1">
      <c r="A32" s="484"/>
      <c r="B32" s="472" t="s">
        <v>381</v>
      </c>
      <c r="C32" s="480" t="s">
        <v>382</v>
      </c>
      <c r="D32" s="480" t="s">
        <v>364</v>
      </c>
      <c r="E32" s="480" t="s">
        <v>106</v>
      </c>
      <c r="F32" s="431" t="s">
        <v>383</v>
      </c>
      <c r="G32" s="485">
        <v>37.6</v>
      </c>
      <c r="H32" s="485" t="s">
        <v>249</v>
      </c>
      <c r="I32" s="485">
        <v>37.6</v>
      </c>
      <c r="J32" s="485">
        <v>37.6</v>
      </c>
      <c r="K32" s="485">
        <v>37.6</v>
      </c>
      <c r="L32" s="485" t="s">
        <v>249</v>
      </c>
      <c r="M32" s="486" t="s">
        <v>249</v>
      </c>
      <c r="N32" s="487">
        <v>37.6</v>
      </c>
      <c r="P32" s="489"/>
    </row>
    <row r="33" spans="1:16" s="488" customFormat="1" ht="20.149999999999999" customHeight="1">
      <c r="A33" s="484"/>
      <c r="B33" s="479"/>
      <c r="C33" s="480" t="s">
        <v>384</v>
      </c>
      <c r="D33" s="480" t="s">
        <v>364</v>
      </c>
      <c r="E33" s="480" t="s">
        <v>106</v>
      </c>
      <c r="F33" s="431" t="s">
        <v>383</v>
      </c>
      <c r="G33" s="485">
        <v>22</v>
      </c>
      <c r="H33" s="485" t="s">
        <v>249</v>
      </c>
      <c r="I33" s="485">
        <v>22</v>
      </c>
      <c r="J33" s="485">
        <v>22</v>
      </c>
      <c r="K33" s="485">
        <v>22</v>
      </c>
      <c r="L33" s="485" t="s">
        <v>249</v>
      </c>
      <c r="M33" s="486" t="s">
        <v>249</v>
      </c>
      <c r="N33" s="487">
        <v>22</v>
      </c>
      <c r="P33" s="489"/>
    </row>
    <row r="34" spans="1:16" ht="20.149999999999999" customHeight="1">
      <c r="B34" s="479"/>
      <c r="C34" s="480" t="s">
        <v>366</v>
      </c>
      <c r="D34" s="480" t="s">
        <v>364</v>
      </c>
      <c r="E34" s="480" t="s">
        <v>106</v>
      </c>
      <c r="F34" s="431" t="s">
        <v>383</v>
      </c>
      <c r="G34" s="364">
        <v>63</v>
      </c>
      <c r="H34" s="364">
        <v>63</v>
      </c>
      <c r="I34" s="364">
        <v>63</v>
      </c>
      <c r="J34" s="364">
        <v>63</v>
      </c>
      <c r="K34" s="364">
        <v>63</v>
      </c>
      <c r="L34" s="364" t="s">
        <v>249</v>
      </c>
      <c r="M34" s="481" t="s">
        <v>249</v>
      </c>
      <c r="N34" s="482">
        <v>63</v>
      </c>
      <c r="P34" s="477"/>
    </row>
    <row r="35" spans="1:16" ht="20.149999999999999" customHeight="1">
      <c r="B35" s="479"/>
      <c r="C35" s="480" t="s">
        <v>369</v>
      </c>
      <c r="D35" s="480" t="s">
        <v>364</v>
      </c>
      <c r="E35" s="480" t="s">
        <v>106</v>
      </c>
      <c r="F35" s="431" t="s">
        <v>383</v>
      </c>
      <c r="G35" s="364">
        <v>41</v>
      </c>
      <c r="H35" s="364" t="s">
        <v>249</v>
      </c>
      <c r="I35" s="364">
        <v>41</v>
      </c>
      <c r="J35" s="364">
        <v>41</v>
      </c>
      <c r="K35" s="364">
        <v>41</v>
      </c>
      <c r="L35" s="364" t="s">
        <v>249</v>
      </c>
      <c r="M35" s="481" t="s">
        <v>249</v>
      </c>
      <c r="N35" s="482">
        <v>41</v>
      </c>
      <c r="P35" s="477"/>
    </row>
    <row r="36" spans="1:16" ht="20.149999999999999" customHeight="1">
      <c r="B36" s="479"/>
      <c r="C36" s="480" t="s">
        <v>363</v>
      </c>
      <c r="D36" s="480" t="s">
        <v>364</v>
      </c>
      <c r="E36" s="480" t="s">
        <v>106</v>
      </c>
      <c r="F36" s="431" t="s">
        <v>383</v>
      </c>
      <c r="G36" s="485">
        <v>86.32</v>
      </c>
      <c r="H36" s="485" t="s">
        <v>249</v>
      </c>
      <c r="I36" s="485">
        <v>86.32</v>
      </c>
      <c r="J36" s="485">
        <v>86.32</v>
      </c>
      <c r="K36" s="485">
        <v>86.32</v>
      </c>
      <c r="L36" s="490" t="s">
        <v>249</v>
      </c>
      <c r="M36" s="491" t="s">
        <v>249</v>
      </c>
      <c r="N36" s="487">
        <v>86.32</v>
      </c>
      <c r="P36" s="477"/>
    </row>
    <row r="37" spans="1:16" ht="20.149999999999999" customHeight="1">
      <c r="B37" s="478"/>
      <c r="C37" s="480" t="s">
        <v>385</v>
      </c>
      <c r="D37" s="480" t="s">
        <v>364</v>
      </c>
      <c r="E37" s="480" t="s">
        <v>106</v>
      </c>
      <c r="F37" s="431" t="s">
        <v>383</v>
      </c>
      <c r="G37" s="364">
        <v>69</v>
      </c>
      <c r="H37" s="364">
        <v>69</v>
      </c>
      <c r="I37" s="364">
        <v>69</v>
      </c>
      <c r="J37" s="364">
        <v>69</v>
      </c>
      <c r="K37" s="364">
        <v>69</v>
      </c>
      <c r="L37" s="364" t="s">
        <v>249</v>
      </c>
      <c r="M37" s="481" t="s">
        <v>249</v>
      </c>
      <c r="N37" s="482">
        <v>69</v>
      </c>
      <c r="P37" s="477"/>
    </row>
    <row r="38" spans="1:16" ht="20.149999999999999" customHeight="1">
      <c r="B38" s="472" t="s">
        <v>386</v>
      </c>
      <c r="C38" s="480" t="s">
        <v>382</v>
      </c>
      <c r="D38" s="480" t="s">
        <v>387</v>
      </c>
      <c r="E38" s="480" t="s">
        <v>106</v>
      </c>
      <c r="F38" s="480" t="s">
        <v>388</v>
      </c>
      <c r="G38" s="364">
        <v>204.8</v>
      </c>
      <c r="H38" s="364" t="s">
        <v>249</v>
      </c>
      <c r="I38" s="364">
        <v>204.8</v>
      </c>
      <c r="J38" s="364">
        <v>204.8</v>
      </c>
      <c r="K38" s="364">
        <v>204.8</v>
      </c>
      <c r="L38" s="364" t="s">
        <v>249</v>
      </c>
      <c r="M38" s="481" t="s">
        <v>249</v>
      </c>
      <c r="N38" s="482">
        <v>204.8</v>
      </c>
      <c r="P38" s="477"/>
    </row>
    <row r="39" spans="1:16" ht="20.149999999999999" customHeight="1">
      <c r="B39" s="479"/>
      <c r="C39" s="480" t="s">
        <v>369</v>
      </c>
      <c r="D39" s="480" t="s">
        <v>387</v>
      </c>
      <c r="E39" s="480" t="s">
        <v>106</v>
      </c>
      <c r="F39" s="480" t="s">
        <v>388</v>
      </c>
      <c r="G39" s="364">
        <v>190.11</v>
      </c>
      <c r="H39" s="364" t="s">
        <v>249</v>
      </c>
      <c r="I39" s="364">
        <v>190.11</v>
      </c>
      <c r="J39" s="364">
        <v>190.11</v>
      </c>
      <c r="K39" s="364">
        <v>190.11</v>
      </c>
      <c r="L39" s="364" t="s">
        <v>249</v>
      </c>
      <c r="M39" s="481" t="s">
        <v>249</v>
      </c>
      <c r="N39" s="482">
        <v>190.11</v>
      </c>
      <c r="P39" s="477"/>
    </row>
    <row r="40" spans="1:16" ht="20.149999999999999" customHeight="1">
      <c r="B40" s="479"/>
      <c r="C40" s="480" t="s">
        <v>338</v>
      </c>
      <c r="D40" s="480" t="s">
        <v>387</v>
      </c>
      <c r="E40" s="480" t="s">
        <v>106</v>
      </c>
      <c r="F40" s="480" t="s">
        <v>388</v>
      </c>
      <c r="G40" s="364">
        <v>337.25</v>
      </c>
      <c r="H40" s="364" t="s">
        <v>249</v>
      </c>
      <c r="I40" s="364">
        <v>337.25</v>
      </c>
      <c r="J40" s="364">
        <v>337.25</v>
      </c>
      <c r="K40" s="364">
        <v>337.25</v>
      </c>
      <c r="L40" s="364" t="s">
        <v>249</v>
      </c>
      <c r="M40" s="481" t="s">
        <v>249</v>
      </c>
      <c r="N40" s="482">
        <v>337.25</v>
      </c>
      <c r="P40" s="477"/>
    </row>
    <row r="41" spans="1:16" ht="20.149999999999999" customHeight="1">
      <c r="B41" s="478"/>
      <c r="C41" s="480" t="s">
        <v>331</v>
      </c>
      <c r="D41" s="480" t="s">
        <v>387</v>
      </c>
      <c r="E41" s="480" t="s">
        <v>106</v>
      </c>
      <c r="F41" s="480" t="s">
        <v>388</v>
      </c>
      <c r="G41" s="485">
        <v>405</v>
      </c>
      <c r="H41" s="485" t="s">
        <v>249</v>
      </c>
      <c r="I41" s="485">
        <v>405</v>
      </c>
      <c r="J41" s="485">
        <v>405</v>
      </c>
      <c r="K41" s="485">
        <v>405</v>
      </c>
      <c r="L41" s="490" t="s">
        <v>249</v>
      </c>
      <c r="M41" s="491" t="s">
        <v>249</v>
      </c>
      <c r="N41" s="487">
        <v>405</v>
      </c>
      <c r="P41" s="477"/>
    </row>
    <row r="42" spans="1:16" ht="20.149999999999999" customHeight="1">
      <c r="B42" s="472" t="s">
        <v>389</v>
      </c>
      <c r="C42" s="480" t="s">
        <v>390</v>
      </c>
      <c r="D42" s="480" t="s">
        <v>364</v>
      </c>
      <c r="E42" s="480" t="s">
        <v>106</v>
      </c>
      <c r="F42" s="431" t="s">
        <v>391</v>
      </c>
      <c r="G42" s="485">
        <v>100</v>
      </c>
      <c r="H42" s="485" t="s">
        <v>249</v>
      </c>
      <c r="I42" s="485">
        <v>100</v>
      </c>
      <c r="J42" s="485">
        <v>100</v>
      </c>
      <c r="K42" s="485">
        <v>100</v>
      </c>
      <c r="L42" s="490" t="s">
        <v>249</v>
      </c>
      <c r="M42" s="491" t="s">
        <v>249</v>
      </c>
      <c r="N42" s="487">
        <v>100</v>
      </c>
      <c r="P42" s="477"/>
    </row>
    <row r="43" spans="1:16" ht="20.149999999999999" customHeight="1">
      <c r="B43" s="479"/>
      <c r="C43" s="480" t="s">
        <v>366</v>
      </c>
      <c r="D43" s="480" t="s">
        <v>364</v>
      </c>
      <c r="E43" s="480" t="s">
        <v>106</v>
      </c>
      <c r="F43" s="431" t="s">
        <v>391</v>
      </c>
      <c r="G43" s="485">
        <v>140</v>
      </c>
      <c r="H43" s="485">
        <v>140</v>
      </c>
      <c r="I43" s="485">
        <v>140</v>
      </c>
      <c r="J43" s="485">
        <v>140</v>
      </c>
      <c r="K43" s="485">
        <v>140</v>
      </c>
      <c r="L43" s="490" t="s">
        <v>249</v>
      </c>
      <c r="M43" s="491" t="s">
        <v>249</v>
      </c>
      <c r="N43" s="487">
        <v>140</v>
      </c>
      <c r="P43" s="477"/>
    </row>
    <row r="44" spans="1:16" ht="20.149999999999999" customHeight="1">
      <c r="B44" s="479"/>
      <c r="C44" s="492" t="s">
        <v>338</v>
      </c>
      <c r="D44" s="480" t="s">
        <v>364</v>
      </c>
      <c r="E44" s="480" t="s">
        <v>106</v>
      </c>
      <c r="F44" s="431" t="s">
        <v>391</v>
      </c>
      <c r="G44" s="485">
        <v>77</v>
      </c>
      <c r="H44" s="485" t="s">
        <v>249</v>
      </c>
      <c r="I44" s="485">
        <v>77</v>
      </c>
      <c r="J44" s="485">
        <v>77</v>
      </c>
      <c r="K44" s="485">
        <v>77</v>
      </c>
      <c r="L44" s="490" t="s">
        <v>249</v>
      </c>
      <c r="M44" s="491" t="s">
        <v>249</v>
      </c>
      <c r="N44" s="487">
        <v>77</v>
      </c>
      <c r="P44" s="477"/>
    </row>
    <row r="45" spans="1:16" s="488" customFormat="1" ht="20.149999999999999" customHeight="1">
      <c r="A45" s="484"/>
      <c r="B45" s="479"/>
      <c r="C45" s="492" t="s">
        <v>305</v>
      </c>
      <c r="D45" s="480" t="s">
        <v>364</v>
      </c>
      <c r="E45" s="480" t="s">
        <v>106</v>
      </c>
      <c r="F45" s="431" t="s">
        <v>391</v>
      </c>
      <c r="G45" s="485">
        <v>162</v>
      </c>
      <c r="H45" s="485" t="s">
        <v>249</v>
      </c>
      <c r="I45" s="485">
        <v>158</v>
      </c>
      <c r="J45" s="485">
        <v>149</v>
      </c>
      <c r="K45" s="485">
        <v>145</v>
      </c>
      <c r="L45" s="485" t="s">
        <v>249</v>
      </c>
      <c r="M45" s="486" t="s">
        <v>249</v>
      </c>
      <c r="N45" s="487">
        <v>153.56</v>
      </c>
      <c r="P45" s="489"/>
    </row>
    <row r="46" spans="1:16" s="488" customFormat="1" ht="20.149999999999999" customHeight="1">
      <c r="A46" s="484"/>
      <c r="B46" s="479"/>
      <c r="C46" s="492" t="s">
        <v>331</v>
      </c>
      <c r="D46" s="480" t="s">
        <v>364</v>
      </c>
      <c r="E46" s="480" t="s">
        <v>106</v>
      </c>
      <c r="F46" s="431" t="s">
        <v>391</v>
      </c>
      <c r="G46" s="485">
        <v>93</v>
      </c>
      <c r="H46" s="485" t="s">
        <v>249</v>
      </c>
      <c r="I46" s="485">
        <v>93</v>
      </c>
      <c r="J46" s="485">
        <v>93</v>
      </c>
      <c r="K46" s="485">
        <v>93</v>
      </c>
      <c r="L46" s="485" t="s">
        <v>249</v>
      </c>
      <c r="M46" s="486" t="s">
        <v>249</v>
      </c>
      <c r="N46" s="487">
        <v>93</v>
      </c>
      <c r="P46" s="489"/>
    </row>
    <row r="47" spans="1:16" s="488" customFormat="1" ht="20.149999999999999" customHeight="1">
      <c r="A47" s="484"/>
      <c r="B47" s="479"/>
      <c r="C47" s="492" t="s">
        <v>299</v>
      </c>
      <c r="D47" s="480" t="s">
        <v>364</v>
      </c>
      <c r="E47" s="480" t="s">
        <v>106</v>
      </c>
      <c r="F47" s="431" t="s">
        <v>391</v>
      </c>
      <c r="G47" s="485">
        <v>135</v>
      </c>
      <c r="H47" s="485" t="s">
        <v>249</v>
      </c>
      <c r="I47" s="485">
        <v>135</v>
      </c>
      <c r="J47" s="485">
        <v>135</v>
      </c>
      <c r="K47" s="485">
        <v>135</v>
      </c>
      <c r="L47" s="485" t="s">
        <v>249</v>
      </c>
      <c r="M47" s="486" t="s">
        <v>249</v>
      </c>
      <c r="N47" s="487">
        <v>135</v>
      </c>
      <c r="P47" s="489"/>
    </row>
    <row r="48" spans="1:16" ht="20.149999999999999" customHeight="1">
      <c r="B48" s="479"/>
      <c r="C48" s="480" t="s">
        <v>385</v>
      </c>
      <c r="D48" s="480" t="s">
        <v>364</v>
      </c>
      <c r="E48" s="480" t="s">
        <v>106</v>
      </c>
      <c r="F48" s="431" t="s">
        <v>391</v>
      </c>
      <c r="G48" s="485">
        <v>77</v>
      </c>
      <c r="H48" s="485">
        <v>78</v>
      </c>
      <c r="I48" s="485">
        <v>80</v>
      </c>
      <c r="J48" s="485">
        <v>82</v>
      </c>
      <c r="K48" s="485">
        <v>83</v>
      </c>
      <c r="L48" s="490" t="s">
        <v>249</v>
      </c>
      <c r="M48" s="491" t="s">
        <v>249</v>
      </c>
      <c r="N48" s="487">
        <v>80</v>
      </c>
      <c r="P48" s="477"/>
    </row>
    <row r="49" spans="1:16" s="488" customFormat="1" ht="20.149999999999999" customHeight="1">
      <c r="A49" s="484"/>
      <c r="B49" s="472" t="s">
        <v>392</v>
      </c>
      <c r="C49" s="480" t="s">
        <v>305</v>
      </c>
      <c r="D49" s="480" t="s">
        <v>393</v>
      </c>
      <c r="E49" s="480" t="s">
        <v>106</v>
      </c>
      <c r="F49" s="480" t="s">
        <v>106</v>
      </c>
      <c r="G49" s="485">
        <v>148</v>
      </c>
      <c r="H49" s="485" t="s">
        <v>249</v>
      </c>
      <c r="I49" s="485">
        <v>146</v>
      </c>
      <c r="J49" s="485">
        <v>139</v>
      </c>
      <c r="K49" s="485">
        <v>141</v>
      </c>
      <c r="L49" s="485" t="s">
        <v>249</v>
      </c>
      <c r="M49" s="486" t="s">
        <v>249</v>
      </c>
      <c r="N49" s="487">
        <v>143.35</v>
      </c>
      <c r="P49" s="489"/>
    </row>
    <row r="50" spans="1:16" ht="20.149999999999999" customHeight="1">
      <c r="B50" s="479"/>
      <c r="C50" s="480" t="s">
        <v>390</v>
      </c>
      <c r="D50" s="480" t="s">
        <v>364</v>
      </c>
      <c r="E50" s="480" t="s">
        <v>106</v>
      </c>
      <c r="F50" s="480" t="s">
        <v>106</v>
      </c>
      <c r="G50" s="364">
        <v>100</v>
      </c>
      <c r="H50" s="364" t="s">
        <v>249</v>
      </c>
      <c r="I50" s="364">
        <v>100</v>
      </c>
      <c r="J50" s="364">
        <v>100</v>
      </c>
      <c r="K50" s="364">
        <v>100</v>
      </c>
      <c r="L50" s="364" t="s">
        <v>249</v>
      </c>
      <c r="M50" s="481" t="s">
        <v>249</v>
      </c>
      <c r="N50" s="482">
        <v>100</v>
      </c>
      <c r="P50" s="477"/>
    </row>
    <row r="51" spans="1:16" s="488" customFormat="1" ht="20.149999999999999" customHeight="1">
      <c r="A51" s="484"/>
      <c r="B51" s="479"/>
      <c r="C51" s="480" t="s">
        <v>394</v>
      </c>
      <c r="D51" s="480" t="s">
        <v>364</v>
      </c>
      <c r="E51" s="480" t="s">
        <v>106</v>
      </c>
      <c r="F51" s="480" t="s">
        <v>106</v>
      </c>
      <c r="G51" s="485">
        <v>219</v>
      </c>
      <c r="H51" s="485" t="s">
        <v>249</v>
      </c>
      <c r="I51" s="485">
        <v>219</v>
      </c>
      <c r="J51" s="485">
        <v>219</v>
      </c>
      <c r="K51" s="485">
        <v>219</v>
      </c>
      <c r="L51" s="485" t="s">
        <v>249</v>
      </c>
      <c r="M51" s="486" t="s">
        <v>249</v>
      </c>
      <c r="N51" s="487">
        <v>219</v>
      </c>
      <c r="P51" s="489"/>
    </row>
    <row r="52" spans="1:16" s="488" customFormat="1" ht="20.149999999999999" customHeight="1">
      <c r="A52" s="484"/>
      <c r="B52" s="479"/>
      <c r="C52" s="480" t="s">
        <v>395</v>
      </c>
      <c r="D52" s="480" t="s">
        <v>364</v>
      </c>
      <c r="E52" s="480" t="s">
        <v>106</v>
      </c>
      <c r="F52" s="480" t="s">
        <v>106</v>
      </c>
      <c r="G52" s="485">
        <v>139.57</v>
      </c>
      <c r="H52" s="485" t="s">
        <v>249</v>
      </c>
      <c r="I52" s="485">
        <v>139.57</v>
      </c>
      <c r="J52" s="485">
        <v>139.57</v>
      </c>
      <c r="K52" s="485">
        <v>139.57</v>
      </c>
      <c r="L52" s="485" t="s">
        <v>249</v>
      </c>
      <c r="M52" s="486" t="s">
        <v>249</v>
      </c>
      <c r="N52" s="487">
        <v>139.57</v>
      </c>
      <c r="P52" s="489"/>
    </row>
    <row r="53" spans="1:16" s="488" customFormat="1" ht="20.149999999999999" customHeight="1">
      <c r="A53" s="484"/>
      <c r="B53" s="479"/>
      <c r="C53" s="480" t="s">
        <v>363</v>
      </c>
      <c r="D53" s="480" t="s">
        <v>364</v>
      </c>
      <c r="E53" s="480" t="s">
        <v>106</v>
      </c>
      <c r="F53" s="480" t="s">
        <v>106</v>
      </c>
      <c r="G53" s="485">
        <v>85.88</v>
      </c>
      <c r="H53" s="485" t="s">
        <v>249</v>
      </c>
      <c r="I53" s="485">
        <v>85.88</v>
      </c>
      <c r="J53" s="485">
        <v>85.88</v>
      </c>
      <c r="K53" s="485">
        <v>85.88</v>
      </c>
      <c r="L53" s="485" t="s">
        <v>249</v>
      </c>
      <c r="M53" s="486" t="s">
        <v>249</v>
      </c>
      <c r="N53" s="487">
        <v>85.88</v>
      </c>
      <c r="P53" s="489"/>
    </row>
    <row r="54" spans="1:16" s="488" customFormat="1" ht="20.149999999999999" customHeight="1">
      <c r="A54" s="484"/>
      <c r="B54" s="479"/>
      <c r="C54" s="480" t="s">
        <v>331</v>
      </c>
      <c r="D54" s="480" t="s">
        <v>364</v>
      </c>
      <c r="E54" s="480" t="s">
        <v>106</v>
      </c>
      <c r="F54" s="480" t="s">
        <v>106</v>
      </c>
      <c r="G54" s="485">
        <v>62</v>
      </c>
      <c r="H54" s="485" t="s">
        <v>249</v>
      </c>
      <c r="I54" s="485">
        <v>62</v>
      </c>
      <c r="J54" s="485">
        <v>62</v>
      </c>
      <c r="K54" s="485">
        <v>62</v>
      </c>
      <c r="L54" s="485" t="s">
        <v>249</v>
      </c>
      <c r="M54" s="486" t="s">
        <v>249</v>
      </c>
      <c r="N54" s="487">
        <v>62</v>
      </c>
      <c r="P54" s="489"/>
    </row>
    <row r="55" spans="1:16" s="488" customFormat="1" ht="20.149999999999999" customHeight="1">
      <c r="A55" s="484"/>
      <c r="B55" s="479"/>
      <c r="C55" s="480" t="s">
        <v>396</v>
      </c>
      <c r="D55" s="480" t="s">
        <v>364</v>
      </c>
      <c r="E55" s="480" t="s">
        <v>106</v>
      </c>
      <c r="F55" s="480" t="s">
        <v>106</v>
      </c>
      <c r="G55" s="485">
        <v>227.67</v>
      </c>
      <c r="H55" s="485" t="s">
        <v>249</v>
      </c>
      <c r="I55" s="485">
        <v>227.67</v>
      </c>
      <c r="J55" s="485">
        <v>227.67</v>
      </c>
      <c r="K55" s="485">
        <v>227.67</v>
      </c>
      <c r="L55" s="485" t="s">
        <v>249</v>
      </c>
      <c r="M55" s="486" t="s">
        <v>249</v>
      </c>
      <c r="N55" s="487">
        <v>227.67</v>
      </c>
      <c r="P55" s="489"/>
    </row>
    <row r="56" spans="1:16" ht="20.149999999999999" customHeight="1">
      <c r="B56" s="478"/>
      <c r="C56" s="480" t="s">
        <v>397</v>
      </c>
      <c r="D56" s="480" t="s">
        <v>364</v>
      </c>
      <c r="E56" s="480" t="s">
        <v>106</v>
      </c>
      <c r="F56" s="480" t="s">
        <v>106</v>
      </c>
      <c r="G56" s="364">
        <v>245.11</v>
      </c>
      <c r="H56" s="364" t="s">
        <v>249</v>
      </c>
      <c r="I56" s="364">
        <v>245.11</v>
      </c>
      <c r="J56" s="364">
        <v>245.11</v>
      </c>
      <c r="K56" s="364">
        <v>245.11</v>
      </c>
      <c r="L56" s="364" t="s">
        <v>249</v>
      </c>
      <c r="M56" s="481" t="s">
        <v>249</v>
      </c>
      <c r="N56" s="482">
        <v>245.11</v>
      </c>
      <c r="P56" s="477"/>
    </row>
    <row r="57" spans="1:16" s="488" customFormat="1" ht="20.149999999999999" customHeight="1">
      <c r="A57" s="484"/>
      <c r="B57" s="472" t="s">
        <v>398</v>
      </c>
      <c r="C57" s="480" t="s">
        <v>305</v>
      </c>
      <c r="D57" s="431" t="s">
        <v>364</v>
      </c>
      <c r="E57" s="480" t="s">
        <v>106</v>
      </c>
      <c r="F57" s="480" t="s">
        <v>106</v>
      </c>
      <c r="G57" s="485">
        <v>118</v>
      </c>
      <c r="H57" s="485" t="s">
        <v>249</v>
      </c>
      <c r="I57" s="485">
        <v>135</v>
      </c>
      <c r="J57" s="485">
        <v>129</v>
      </c>
      <c r="K57" s="485">
        <v>120</v>
      </c>
      <c r="L57" s="485" t="s">
        <v>249</v>
      </c>
      <c r="M57" s="486" t="s">
        <v>249</v>
      </c>
      <c r="N57" s="487">
        <v>126.34</v>
      </c>
      <c r="P57" s="489"/>
    </row>
    <row r="58" spans="1:16" s="488" customFormat="1" ht="20.149999999999999" customHeight="1">
      <c r="A58" s="484"/>
      <c r="B58" s="472" t="s">
        <v>399</v>
      </c>
      <c r="C58" s="480" t="s">
        <v>305</v>
      </c>
      <c r="D58" s="431" t="s">
        <v>297</v>
      </c>
      <c r="E58" s="480" t="s">
        <v>106</v>
      </c>
      <c r="F58" s="480" t="s">
        <v>106</v>
      </c>
      <c r="G58" s="485">
        <v>182</v>
      </c>
      <c r="H58" s="485" t="s">
        <v>249</v>
      </c>
      <c r="I58" s="485">
        <v>193</v>
      </c>
      <c r="J58" s="485">
        <v>179</v>
      </c>
      <c r="K58" s="485">
        <v>181</v>
      </c>
      <c r="L58" s="485" t="s">
        <v>249</v>
      </c>
      <c r="M58" s="486" t="s">
        <v>249</v>
      </c>
      <c r="N58" s="487">
        <v>183.87</v>
      </c>
      <c r="P58" s="489"/>
    </row>
    <row r="59" spans="1:16" s="488" customFormat="1" ht="20.149999999999999" customHeight="1">
      <c r="A59" s="484"/>
      <c r="B59" s="479"/>
      <c r="C59" s="480" t="s">
        <v>385</v>
      </c>
      <c r="D59" s="431" t="s">
        <v>297</v>
      </c>
      <c r="E59" s="480" t="s">
        <v>106</v>
      </c>
      <c r="F59" s="480" t="s">
        <v>106</v>
      </c>
      <c r="G59" s="485">
        <v>115</v>
      </c>
      <c r="H59" s="485">
        <v>115</v>
      </c>
      <c r="I59" s="485">
        <v>115</v>
      </c>
      <c r="J59" s="485">
        <v>115</v>
      </c>
      <c r="K59" s="485">
        <v>115</v>
      </c>
      <c r="L59" s="485" t="s">
        <v>249</v>
      </c>
      <c r="M59" s="486" t="s">
        <v>249</v>
      </c>
      <c r="N59" s="487">
        <v>115</v>
      </c>
      <c r="P59" s="489"/>
    </row>
    <row r="60" spans="1:16" s="488" customFormat="1" ht="20.149999999999999" customHeight="1">
      <c r="A60" s="484"/>
      <c r="B60" s="472" t="s">
        <v>400</v>
      </c>
      <c r="C60" s="480" t="s">
        <v>313</v>
      </c>
      <c r="D60" s="431" t="s">
        <v>401</v>
      </c>
      <c r="E60" s="480" t="s">
        <v>106</v>
      </c>
      <c r="F60" s="480" t="s">
        <v>106</v>
      </c>
      <c r="G60" s="485">
        <v>679</v>
      </c>
      <c r="H60" s="485">
        <v>592</v>
      </c>
      <c r="I60" s="485">
        <v>623.26</v>
      </c>
      <c r="J60" s="485">
        <v>570.38</v>
      </c>
      <c r="K60" s="485">
        <v>614.75</v>
      </c>
      <c r="L60" s="485">
        <v>647</v>
      </c>
      <c r="M60" s="486" t="s">
        <v>249</v>
      </c>
      <c r="N60" s="487">
        <v>613.67999999999995</v>
      </c>
      <c r="P60" s="489"/>
    </row>
    <row r="61" spans="1:16" s="488" customFormat="1" ht="20.149999999999999" customHeight="1">
      <c r="A61" s="484"/>
      <c r="B61" s="472" t="s">
        <v>402</v>
      </c>
      <c r="C61" s="480" t="s">
        <v>305</v>
      </c>
      <c r="D61" s="431" t="s">
        <v>403</v>
      </c>
      <c r="E61" s="480" t="s">
        <v>291</v>
      </c>
      <c r="F61" s="480" t="s">
        <v>106</v>
      </c>
      <c r="G61" s="485">
        <v>116</v>
      </c>
      <c r="H61" s="485" t="s">
        <v>249</v>
      </c>
      <c r="I61" s="485">
        <v>147</v>
      </c>
      <c r="J61" s="485">
        <v>136</v>
      </c>
      <c r="K61" s="485">
        <v>138</v>
      </c>
      <c r="L61" s="485" t="s">
        <v>249</v>
      </c>
      <c r="M61" s="486" t="s">
        <v>249</v>
      </c>
      <c r="N61" s="487">
        <v>133.47999999999999</v>
      </c>
      <c r="P61" s="489"/>
    </row>
    <row r="62" spans="1:16" s="488" customFormat="1" ht="20.149999999999999" customHeight="1">
      <c r="A62" s="484"/>
      <c r="B62" s="479"/>
      <c r="C62" s="480" t="s">
        <v>305</v>
      </c>
      <c r="D62" s="431" t="s">
        <v>404</v>
      </c>
      <c r="E62" s="480" t="s">
        <v>291</v>
      </c>
      <c r="F62" s="480" t="s">
        <v>405</v>
      </c>
      <c r="G62" s="485">
        <v>168</v>
      </c>
      <c r="H62" s="485" t="s">
        <v>249</v>
      </c>
      <c r="I62" s="485">
        <v>150</v>
      </c>
      <c r="J62" s="485">
        <v>131</v>
      </c>
      <c r="K62" s="485">
        <v>124</v>
      </c>
      <c r="L62" s="485" t="s">
        <v>249</v>
      </c>
      <c r="M62" s="486" t="s">
        <v>249</v>
      </c>
      <c r="N62" s="487">
        <v>143.13</v>
      </c>
      <c r="P62" s="489"/>
    </row>
    <row r="63" spans="1:16" s="488" customFormat="1" ht="20.149999999999999" customHeight="1">
      <c r="A63" s="484"/>
      <c r="B63" s="479"/>
      <c r="C63" s="480" t="s">
        <v>305</v>
      </c>
      <c r="D63" s="431" t="s">
        <v>406</v>
      </c>
      <c r="E63" s="480" t="s">
        <v>291</v>
      </c>
      <c r="F63" s="431" t="s">
        <v>405</v>
      </c>
      <c r="G63" s="485">
        <v>170</v>
      </c>
      <c r="H63" s="485" t="s">
        <v>249</v>
      </c>
      <c r="I63" s="485">
        <v>175</v>
      </c>
      <c r="J63" s="485">
        <v>165</v>
      </c>
      <c r="K63" s="485">
        <v>160</v>
      </c>
      <c r="L63" s="485" t="s">
        <v>249</v>
      </c>
      <c r="M63" s="486" t="s">
        <v>249</v>
      </c>
      <c r="N63" s="487">
        <v>167.62</v>
      </c>
      <c r="P63" s="489"/>
    </row>
    <row r="64" spans="1:16" s="488" customFormat="1" ht="20.149999999999999" customHeight="1">
      <c r="A64" s="484"/>
      <c r="B64" s="479"/>
      <c r="C64" s="492" t="s">
        <v>331</v>
      </c>
      <c r="D64" s="431" t="s">
        <v>364</v>
      </c>
      <c r="E64" s="480" t="s">
        <v>291</v>
      </c>
      <c r="F64" s="431" t="s">
        <v>405</v>
      </c>
      <c r="G64" s="485">
        <v>120</v>
      </c>
      <c r="H64" s="485" t="s">
        <v>249</v>
      </c>
      <c r="I64" s="485">
        <v>120</v>
      </c>
      <c r="J64" s="485">
        <v>120</v>
      </c>
      <c r="K64" s="485">
        <v>120</v>
      </c>
      <c r="L64" s="485" t="s">
        <v>249</v>
      </c>
      <c r="M64" s="486" t="s">
        <v>249</v>
      </c>
      <c r="N64" s="487">
        <v>120</v>
      </c>
      <c r="P64" s="489"/>
    </row>
    <row r="65" spans="1:16" ht="20.149999999999999" customHeight="1">
      <c r="B65" s="472" t="s">
        <v>407</v>
      </c>
      <c r="C65" s="492" t="s">
        <v>313</v>
      </c>
      <c r="D65" s="480" t="s">
        <v>408</v>
      </c>
      <c r="E65" s="480" t="s">
        <v>106</v>
      </c>
      <c r="F65" s="480" t="s">
        <v>409</v>
      </c>
      <c r="G65" s="364">
        <v>211.84</v>
      </c>
      <c r="H65" s="364">
        <v>200</v>
      </c>
      <c r="I65" s="364">
        <v>216.65</v>
      </c>
      <c r="J65" s="364">
        <v>221.64</v>
      </c>
      <c r="K65" s="364">
        <v>208.54</v>
      </c>
      <c r="L65" s="365">
        <v>214.26</v>
      </c>
      <c r="M65" s="493" t="s">
        <v>249</v>
      </c>
      <c r="N65" s="482">
        <v>212.87</v>
      </c>
      <c r="P65" s="477"/>
    </row>
    <row r="66" spans="1:16" ht="20.149999999999999" customHeight="1">
      <c r="B66" s="479"/>
      <c r="C66" s="492" t="s">
        <v>346</v>
      </c>
      <c r="D66" s="480" t="s">
        <v>408</v>
      </c>
      <c r="E66" s="480" t="s">
        <v>106</v>
      </c>
      <c r="F66" s="480" t="s">
        <v>409</v>
      </c>
      <c r="G66" s="364">
        <v>236</v>
      </c>
      <c r="H66" s="364" t="s">
        <v>249</v>
      </c>
      <c r="I66" s="364">
        <v>244</v>
      </c>
      <c r="J66" s="364">
        <v>237</v>
      </c>
      <c r="K66" s="364">
        <v>243</v>
      </c>
      <c r="L66" s="365">
        <v>234</v>
      </c>
      <c r="M66" s="493" t="s">
        <v>249</v>
      </c>
      <c r="N66" s="482">
        <v>238.9</v>
      </c>
      <c r="P66" s="477"/>
    </row>
    <row r="67" spans="1:16" ht="20.149999999999999" customHeight="1">
      <c r="B67" s="479"/>
      <c r="C67" s="492" t="s">
        <v>313</v>
      </c>
      <c r="D67" s="480" t="s">
        <v>410</v>
      </c>
      <c r="E67" s="363" t="s">
        <v>106</v>
      </c>
      <c r="F67" s="480" t="s">
        <v>106</v>
      </c>
      <c r="G67" s="364">
        <v>151</v>
      </c>
      <c r="H67" s="364" t="s">
        <v>249</v>
      </c>
      <c r="I67" s="364">
        <v>159</v>
      </c>
      <c r="J67" s="364">
        <v>174</v>
      </c>
      <c r="K67" s="364">
        <v>217</v>
      </c>
      <c r="L67" s="364">
        <v>212</v>
      </c>
      <c r="M67" s="481" t="s">
        <v>249</v>
      </c>
      <c r="N67" s="482">
        <v>183.65</v>
      </c>
      <c r="P67" s="477"/>
    </row>
    <row r="68" spans="1:16" ht="20.149999999999999" customHeight="1">
      <c r="B68" s="479"/>
      <c r="C68" s="492" t="s">
        <v>363</v>
      </c>
      <c r="D68" s="480" t="s">
        <v>410</v>
      </c>
      <c r="E68" s="363" t="s">
        <v>106</v>
      </c>
      <c r="F68" s="480" t="s">
        <v>106</v>
      </c>
      <c r="G68" s="364">
        <v>115</v>
      </c>
      <c r="H68" s="364" t="s">
        <v>249</v>
      </c>
      <c r="I68" s="364">
        <v>115</v>
      </c>
      <c r="J68" s="364">
        <v>115</v>
      </c>
      <c r="K68" s="364">
        <v>115</v>
      </c>
      <c r="L68" s="364" t="s">
        <v>249</v>
      </c>
      <c r="M68" s="481" t="s">
        <v>249</v>
      </c>
      <c r="N68" s="482">
        <v>115</v>
      </c>
      <c r="P68" s="477"/>
    </row>
    <row r="69" spans="1:16" s="488" customFormat="1" ht="20.149999999999999" customHeight="1">
      <c r="A69" s="484"/>
      <c r="B69" s="479"/>
      <c r="C69" s="492" t="s">
        <v>305</v>
      </c>
      <c r="D69" s="480" t="s">
        <v>410</v>
      </c>
      <c r="E69" s="363" t="s">
        <v>106</v>
      </c>
      <c r="F69" s="480" t="s">
        <v>106</v>
      </c>
      <c r="G69" s="364">
        <v>225</v>
      </c>
      <c r="H69" s="364" t="s">
        <v>249</v>
      </c>
      <c r="I69" s="364">
        <v>202</v>
      </c>
      <c r="J69" s="364">
        <v>184</v>
      </c>
      <c r="K69" s="364">
        <v>179</v>
      </c>
      <c r="L69" s="364" t="s">
        <v>249</v>
      </c>
      <c r="M69" s="481" t="s">
        <v>249</v>
      </c>
      <c r="N69" s="482">
        <v>197.72</v>
      </c>
      <c r="P69" s="489"/>
    </row>
    <row r="70" spans="1:16" ht="20.149999999999999" customHeight="1">
      <c r="B70" s="472" t="s">
        <v>411</v>
      </c>
      <c r="C70" s="480" t="s">
        <v>313</v>
      </c>
      <c r="D70" s="480" t="s">
        <v>412</v>
      </c>
      <c r="E70" s="363" t="s">
        <v>291</v>
      </c>
      <c r="F70" s="480" t="s">
        <v>413</v>
      </c>
      <c r="G70" s="364">
        <v>235.5</v>
      </c>
      <c r="H70" s="364" t="s">
        <v>249</v>
      </c>
      <c r="I70" s="364">
        <v>228.13</v>
      </c>
      <c r="J70" s="364">
        <v>204.33</v>
      </c>
      <c r="K70" s="364">
        <v>181.06</v>
      </c>
      <c r="L70" s="364">
        <v>201.68</v>
      </c>
      <c r="M70" s="481" t="s">
        <v>249</v>
      </c>
      <c r="N70" s="482">
        <v>207.37</v>
      </c>
      <c r="P70" s="477"/>
    </row>
    <row r="71" spans="1:16" ht="20.149999999999999" customHeight="1">
      <c r="B71" s="479"/>
      <c r="C71" s="492" t="s">
        <v>313</v>
      </c>
      <c r="D71" s="480" t="s">
        <v>414</v>
      </c>
      <c r="E71" s="363" t="s">
        <v>291</v>
      </c>
      <c r="F71" s="480" t="s">
        <v>413</v>
      </c>
      <c r="G71" s="364">
        <v>238.5</v>
      </c>
      <c r="H71" s="364" t="s">
        <v>249</v>
      </c>
      <c r="I71" s="364">
        <v>214.5</v>
      </c>
      <c r="J71" s="364">
        <v>196.5</v>
      </c>
      <c r="K71" s="364">
        <v>155.5</v>
      </c>
      <c r="L71" s="365">
        <v>213</v>
      </c>
      <c r="M71" s="493" t="s">
        <v>249</v>
      </c>
      <c r="N71" s="482">
        <v>197.97</v>
      </c>
      <c r="P71" s="477"/>
    </row>
    <row r="72" spans="1:16" ht="20.149999999999999" customHeight="1">
      <c r="B72" s="479"/>
      <c r="C72" s="492" t="s">
        <v>313</v>
      </c>
      <c r="D72" s="480" t="s">
        <v>415</v>
      </c>
      <c r="E72" s="363" t="s">
        <v>291</v>
      </c>
      <c r="F72" s="480" t="s">
        <v>416</v>
      </c>
      <c r="G72" s="364">
        <v>230</v>
      </c>
      <c r="H72" s="364" t="s">
        <v>249</v>
      </c>
      <c r="I72" s="364">
        <v>224</v>
      </c>
      <c r="J72" s="364">
        <v>185</v>
      </c>
      <c r="K72" s="364">
        <v>177</v>
      </c>
      <c r="L72" s="365">
        <v>156</v>
      </c>
      <c r="M72" s="493" t="s">
        <v>249</v>
      </c>
      <c r="N72" s="482">
        <v>191.45</v>
      </c>
      <c r="P72" s="477"/>
    </row>
    <row r="73" spans="1:16" ht="20.149999999999999" customHeight="1">
      <c r="B73" s="472" t="s">
        <v>417</v>
      </c>
      <c r="C73" s="492" t="s">
        <v>301</v>
      </c>
      <c r="D73" s="480" t="s">
        <v>364</v>
      </c>
      <c r="E73" s="363" t="s">
        <v>106</v>
      </c>
      <c r="F73" s="480" t="s">
        <v>106</v>
      </c>
      <c r="G73" s="364">
        <v>276</v>
      </c>
      <c r="H73" s="364" t="s">
        <v>249</v>
      </c>
      <c r="I73" s="364">
        <v>276</v>
      </c>
      <c r="J73" s="364">
        <v>276</v>
      </c>
      <c r="K73" s="364">
        <v>276</v>
      </c>
      <c r="L73" s="365" t="s">
        <v>249</v>
      </c>
      <c r="M73" s="493" t="s">
        <v>249</v>
      </c>
      <c r="N73" s="482">
        <v>276</v>
      </c>
      <c r="P73" s="477"/>
    </row>
    <row r="74" spans="1:16" ht="20.149999999999999" customHeight="1">
      <c r="B74" s="479"/>
      <c r="C74" s="480" t="s">
        <v>390</v>
      </c>
      <c r="D74" s="480" t="s">
        <v>364</v>
      </c>
      <c r="E74" s="363" t="s">
        <v>106</v>
      </c>
      <c r="F74" s="480" t="s">
        <v>106</v>
      </c>
      <c r="G74" s="364">
        <v>140</v>
      </c>
      <c r="H74" s="364" t="s">
        <v>249</v>
      </c>
      <c r="I74" s="364">
        <v>140</v>
      </c>
      <c r="J74" s="364">
        <v>140</v>
      </c>
      <c r="K74" s="364">
        <v>140</v>
      </c>
      <c r="L74" s="364" t="s">
        <v>249</v>
      </c>
      <c r="M74" s="481" t="s">
        <v>249</v>
      </c>
      <c r="N74" s="482">
        <v>140</v>
      </c>
      <c r="P74" s="477"/>
    </row>
    <row r="75" spans="1:16" ht="20.149999999999999" customHeight="1">
      <c r="B75" s="479"/>
      <c r="C75" s="480" t="s">
        <v>331</v>
      </c>
      <c r="D75" s="480" t="s">
        <v>364</v>
      </c>
      <c r="E75" s="363" t="s">
        <v>106</v>
      </c>
      <c r="F75" s="431" t="s">
        <v>106</v>
      </c>
      <c r="G75" s="364">
        <v>100</v>
      </c>
      <c r="H75" s="364" t="s">
        <v>249</v>
      </c>
      <c r="I75" s="364">
        <v>100</v>
      </c>
      <c r="J75" s="364">
        <v>100</v>
      </c>
      <c r="K75" s="364">
        <v>100</v>
      </c>
      <c r="L75" s="364" t="s">
        <v>249</v>
      </c>
      <c r="M75" s="481" t="s">
        <v>249</v>
      </c>
      <c r="N75" s="482">
        <v>100</v>
      </c>
      <c r="P75" s="477"/>
    </row>
    <row r="76" spans="1:16" ht="20.149999999999999" customHeight="1">
      <c r="B76" s="479"/>
      <c r="C76" s="480" t="s">
        <v>385</v>
      </c>
      <c r="D76" s="480" t="s">
        <v>364</v>
      </c>
      <c r="E76" s="363" t="s">
        <v>106</v>
      </c>
      <c r="F76" s="431" t="s">
        <v>106</v>
      </c>
      <c r="G76" s="364">
        <v>133</v>
      </c>
      <c r="H76" s="364">
        <v>132</v>
      </c>
      <c r="I76" s="364">
        <v>131.19999999999999</v>
      </c>
      <c r="J76" s="364">
        <v>131.19999999999999</v>
      </c>
      <c r="K76" s="364">
        <v>131.19999999999999</v>
      </c>
      <c r="L76" s="364" t="s">
        <v>249</v>
      </c>
      <c r="M76" s="481" t="s">
        <v>249</v>
      </c>
      <c r="N76" s="482">
        <v>131.72</v>
      </c>
      <c r="P76" s="477"/>
    </row>
    <row r="77" spans="1:16" ht="20.149999999999999" customHeight="1">
      <c r="B77" s="472" t="s">
        <v>418</v>
      </c>
      <c r="C77" s="480" t="s">
        <v>313</v>
      </c>
      <c r="D77" s="480" t="s">
        <v>419</v>
      </c>
      <c r="E77" s="363" t="s">
        <v>291</v>
      </c>
      <c r="F77" s="431" t="s">
        <v>106</v>
      </c>
      <c r="G77" s="364" t="s">
        <v>249</v>
      </c>
      <c r="H77" s="364">
        <v>318</v>
      </c>
      <c r="I77" s="364">
        <v>331</v>
      </c>
      <c r="J77" s="364">
        <v>242</v>
      </c>
      <c r="K77" s="364">
        <v>242</v>
      </c>
      <c r="L77" s="364">
        <v>217</v>
      </c>
      <c r="M77" s="481" t="s">
        <v>249</v>
      </c>
      <c r="N77" s="482">
        <v>257.60000000000002</v>
      </c>
      <c r="P77" s="477"/>
    </row>
    <row r="78" spans="1:16" ht="20.149999999999999" customHeight="1">
      <c r="B78" s="479"/>
      <c r="C78" s="480" t="s">
        <v>366</v>
      </c>
      <c r="D78" s="480" t="s">
        <v>419</v>
      </c>
      <c r="E78" s="363" t="s">
        <v>291</v>
      </c>
      <c r="F78" s="431" t="s">
        <v>106</v>
      </c>
      <c r="G78" s="364">
        <v>205</v>
      </c>
      <c r="H78" s="364">
        <v>201</v>
      </c>
      <c r="I78" s="364">
        <v>199</v>
      </c>
      <c r="J78" s="364">
        <v>199</v>
      </c>
      <c r="K78" s="364">
        <v>199</v>
      </c>
      <c r="L78" s="364" t="s">
        <v>249</v>
      </c>
      <c r="M78" s="481" t="s">
        <v>249</v>
      </c>
      <c r="N78" s="482">
        <v>200.6</v>
      </c>
      <c r="P78" s="477"/>
    </row>
    <row r="79" spans="1:16" s="497" customFormat="1" ht="20.149999999999999" customHeight="1">
      <c r="A79" s="494"/>
      <c r="B79" s="495"/>
      <c r="C79" s="496" t="s">
        <v>346</v>
      </c>
      <c r="D79" s="480" t="s">
        <v>419</v>
      </c>
      <c r="E79" s="363" t="s">
        <v>291</v>
      </c>
      <c r="F79" s="431" t="s">
        <v>106</v>
      </c>
      <c r="G79" s="485">
        <v>166.65</v>
      </c>
      <c r="H79" s="485" t="s">
        <v>249</v>
      </c>
      <c r="I79" s="485">
        <v>166.65</v>
      </c>
      <c r="J79" s="485">
        <v>166.65</v>
      </c>
      <c r="K79" s="485">
        <v>166.65</v>
      </c>
      <c r="L79" s="485" t="s">
        <v>249</v>
      </c>
      <c r="M79" s="486" t="s">
        <v>249</v>
      </c>
      <c r="N79" s="487">
        <v>166.65</v>
      </c>
      <c r="P79" s="498"/>
    </row>
    <row r="80" spans="1:16" s="497" customFormat="1" ht="20.149999999999999" customHeight="1">
      <c r="A80" s="494"/>
      <c r="B80" s="479"/>
      <c r="C80" s="492" t="s">
        <v>304</v>
      </c>
      <c r="D80" s="480" t="s">
        <v>419</v>
      </c>
      <c r="E80" s="480" t="s">
        <v>291</v>
      </c>
      <c r="F80" s="480" t="s">
        <v>106</v>
      </c>
      <c r="G80" s="485">
        <v>138.37</v>
      </c>
      <c r="H80" s="485" t="s">
        <v>249</v>
      </c>
      <c r="I80" s="485">
        <v>138.37</v>
      </c>
      <c r="J80" s="485">
        <v>138.37</v>
      </c>
      <c r="K80" s="485">
        <v>138.37</v>
      </c>
      <c r="L80" s="485" t="s">
        <v>249</v>
      </c>
      <c r="M80" s="486" t="s">
        <v>249</v>
      </c>
      <c r="N80" s="487">
        <v>138.37</v>
      </c>
      <c r="P80" s="498"/>
    </row>
    <row r="81" spans="1:16" s="497" customFormat="1" ht="20.149999999999999" customHeight="1">
      <c r="A81" s="494"/>
      <c r="B81" s="479"/>
      <c r="C81" s="492" t="s">
        <v>305</v>
      </c>
      <c r="D81" s="480" t="s">
        <v>419</v>
      </c>
      <c r="E81" s="480" t="s">
        <v>291</v>
      </c>
      <c r="F81" s="480" t="s">
        <v>106</v>
      </c>
      <c r="G81" s="485">
        <v>228</v>
      </c>
      <c r="H81" s="485" t="s">
        <v>249</v>
      </c>
      <c r="I81" s="485">
        <v>240</v>
      </c>
      <c r="J81" s="485">
        <v>295</v>
      </c>
      <c r="K81" s="485">
        <v>236</v>
      </c>
      <c r="L81" s="485" t="s">
        <v>249</v>
      </c>
      <c r="M81" s="486" t="s">
        <v>249</v>
      </c>
      <c r="N81" s="487">
        <v>249.38</v>
      </c>
      <c r="P81" s="498"/>
    </row>
    <row r="82" spans="1:16" s="488" customFormat="1" ht="20.149999999999999" customHeight="1">
      <c r="A82" s="484"/>
      <c r="B82" s="479"/>
      <c r="C82" s="480" t="s">
        <v>313</v>
      </c>
      <c r="D82" s="480" t="s">
        <v>420</v>
      </c>
      <c r="E82" s="480" t="s">
        <v>291</v>
      </c>
      <c r="F82" s="480" t="s">
        <v>106</v>
      </c>
      <c r="G82" s="364" t="s">
        <v>249</v>
      </c>
      <c r="H82" s="364">
        <v>142.46</v>
      </c>
      <c r="I82" s="364">
        <v>151.63999999999999</v>
      </c>
      <c r="J82" s="364">
        <v>139.33000000000001</v>
      </c>
      <c r="K82" s="364">
        <v>139.33000000000001</v>
      </c>
      <c r="L82" s="364">
        <v>131.51</v>
      </c>
      <c r="M82" s="481" t="s">
        <v>249</v>
      </c>
      <c r="N82" s="499">
        <v>137.52000000000001</v>
      </c>
      <c r="P82" s="489"/>
    </row>
    <row r="83" spans="1:16" s="488" customFormat="1" ht="20.149999999999999" customHeight="1">
      <c r="A83" s="484"/>
      <c r="B83" s="479"/>
      <c r="C83" s="480" t="s">
        <v>366</v>
      </c>
      <c r="D83" s="480" t="s">
        <v>420</v>
      </c>
      <c r="E83" s="480" t="s">
        <v>291</v>
      </c>
      <c r="F83" s="480" t="s">
        <v>106</v>
      </c>
      <c r="G83" s="364">
        <v>150</v>
      </c>
      <c r="H83" s="364">
        <v>148</v>
      </c>
      <c r="I83" s="364">
        <v>147</v>
      </c>
      <c r="J83" s="364">
        <v>147</v>
      </c>
      <c r="K83" s="364">
        <v>147</v>
      </c>
      <c r="L83" s="364" t="s">
        <v>249</v>
      </c>
      <c r="M83" s="481" t="s">
        <v>249</v>
      </c>
      <c r="N83" s="482">
        <v>147.80000000000001</v>
      </c>
      <c r="P83" s="489"/>
    </row>
    <row r="84" spans="1:16" s="488" customFormat="1" ht="20.149999999999999" customHeight="1">
      <c r="A84" s="484"/>
      <c r="B84" s="479"/>
      <c r="C84" s="480" t="s">
        <v>313</v>
      </c>
      <c r="D84" s="480" t="s">
        <v>421</v>
      </c>
      <c r="E84" s="480" t="s">
        <v>291</v>
      </c>
      <c r="F84" s="480" t="s">
        <v>422</v>
      </c>
      <c r="G84" s="364">
        <v>102</v>
      </c>
      <c r="H84" s="364">
        <v>133.63999999999999</v>
      </c>
      <c r="I84" s="364">
        <v>133.56</v>
      </c>
      <c r="J84" s="364">
        <v>131.80000000000001</v>
      </c>
      <c r="K84" s="364">
        <v>123.1</v>
      </c>
      <c r="L84" s="364">
        <v>128.88</v>
      </c>
      <c r="M84" s="481" t="s">
        <v>249</v>
      </c>
      <c r="N84" s="482">
        <v>123.46</v>
      </c>
      <c r="P84" s="489"/>
    </row>
    <row r="85" spans="1:16" s="488" customFormat="1" ht="20.149999999999999" customHeight="1">
      <c r="A85" s="484"/>
      <c r="B85" s="479"/>
      <c r="C85" s="480" t="s">
        <v>366</v>
      </c>
      <c r="D85" s="480" t="s">
        <v>421</v>
      </c>
      <c r="E85" s="480" t="s">
        <v>291</v>
      </c>
      <c r="F85" s="480" t="s">
        <v>422</v>
      </c>
      <c r="G85" s="364">
        <v>110</v>
      </c>
      <c r="H85" s="364">
        <v>110</v>
      </c>
      <c r="I85" s="364">
        <v>110</v>
      </c>
      <c r="J85" s="364">
        <v>110</v>
      </c>
      <c r="K85" s="364">
        <v>110</v>
      </c>
      <c r="L85" s="364" t="s">
        <v>249</v>
      </c>
      <c r="M85" s="481" t="s">
        <v>249</v>
      </c>
      <c r="N85" s="482">
        <v>110</v>
      </c>
      <c r="P85" s="489"/>
    </row>
    <row r="86" spans="1:16" s="488" customFormat="1" ht="20.149999999999999" customHeight="1">
      <c r="A86" s="484"/>
      <c r="B86" s="479"/>
      <c r="C86" s="480" t="s">
        <v>305</v>
      </c>
      <c r="D86" s="480" t="s">
        <v>421</v>
      </c>
      <c r="E86" s="480" t="s">
        <v>291</v>
      </c>
      <c r="F86" s="480" t="s">
        <v>422</v>
      </c>
      <c r="G86" s="364">
        <v>124</v>
      </c>
      <c r="H86" s="364" t="s">
        <v>249</v>
      </c>
      <c r="I86" s="364">
        <v>110</v>
      </c>
      <c r="J86" s="364">
        <v>102</v>
      </c>
      <c r="K86" s="364">
        <v>98</v>
      </c>
      <c r="L86" s="364" t="s">
        <v>249</v>
      </c>
      <c r="M86" s="481" t="s">
        <v>249</v>
      </c>
      <c r="N86" s="482">
        <v>110</v>
      </c>
      <c r="P86" s="489"/>
    </row>
    <row r="87" spans="1:16" ht="20.149999999999999" customHeight="1">
      <c r="B87" s="472" t="s">
        <v>423</v>
      </c>
      <c r="C87" s="480" t="s">
        <v>424</v>
      </c>
      <c r="D87" s="480" t="s">
        <v>364</v>
      </c>
      <c r="E87" s="363" t="s">
        <v>106</v>
      </c>
      <c r="F87" s="431" t="s">
        <v>106</v>
      </c>
      <c r="G87" s="364">
        <v>74.7</v>
      </c>
      <c r="H87" s="364" t="s">
        <v>249</v>
      </c>
      <c r="I87" s="364">
        <v>74.7</v>
      </c>
      <c r="J87" s="364">
        <v>74.7</v>
      </c>
      <c r="K87" s="364">
        <v>74.7</v>
      </c>
      <c r="L87" s="364" t="s">
        <v>249</v>
      </c>
      <c r="M87" s="481" t="s">
        <v>249</v>
      </c>
      <c r="N87" s="482">
        <v>74.7</v>
      </c>
      <c r="P87" s="477"/>
    </row>
    <row r="88" spans="1:16" ht="20.149999999999999" customHeight="1">
      <c r="B88" s="479"/>
      <c r="C88" s="480" t="s">
        <v>425</v>
      </c>
      <c r="D88" s="480" t="s">
        <v>364</v>
      </c>
      <c r="E88" s="363" t="s">
        <v>106</v>
      </c>
      <c r="F88" s="431" t="s">
        <v>106</v>
      </c>
      <c r="G88" s="364">
        <v>45</v>
      </c>
      <c r="H88" s="364" t="s">
        <v>249</v>
      </c>
      <c r="I88" s="364">
        <v>45</v>
      </c>
      <c r="J88" s="364">
        <v>45</v>
      </c>
      <c r="K88" s="364">
        <v>45</v>
      </c>
      <c r="L88" s="364" t="s">
        <v>249</v>
      </c>
      <c r="M88" s="481" t="s">
        <v>249</v>
      </c>
      <c r="N88" s="482">
        <v>45</v>
      </c>
      <c r="P88" s="477"/>
    </row>
    <row r="89" spans="1:16" s="488" customFormat="1" ht="20.149999999999999" customHeight="1">
      <c r="A89" s="484"/>
      <c r="B89" s="479"/>
      <c r="C89" s="480" t="s">
        <v>385</v>
      </c>
      <c r="D89" s="480" t="s">
        <v>364</v>
      </c>
      <c r="E89" s="480" t="s">
        <v>106</v>
      </c>
      <c r="F89" s="480" t="s">
        <v>106</v>
      </c>
      <c r="G89" s="364">
        <v>40.200000000000003</v>
      </c>
      <c r="H89" s="364">
        <v>40.200000000000003</v>
      </c>
      <c r="I89" s="364">
        <v>40.200000000000003</v>
      </c>
      <c r="J89" s="364">
        <v>40.200000000000003</v>
      </c>
      <c r="K89" s="364">
        <v>40.200000000000003</v>
      </c>
      <c r="L89" s="364" t="s">
        <v>249</v>
      </c>
      <c r="M89" s="481" t="s">
        <v>249</v>
      </c>
      <c r="N89" s="482">
        <v>40.200000000000003</v>
      </c>
      <c r="P89" s="489"/>
    </row>
    <row r="90" spans="1:16" ht="20.149999999999999" customHeight="1" thickBot="1">
      <c r="B90" s="380"/>
      <c r="C90" s="500" t="s">
        <v>426</v>
      </c>
      <c r="D90" s="500" t="s">
        <v>364</v>
      </c>
      <c r="E90" s="500" t="s">
        <v>106</v>
      </c>
      <c r="F90" s="500" t="s">
        <v>106</v>
      </c>
      <c r="G90" s="501">
        <v>44</v>
      </c>
      <c r="H90" s="501" t="s">
        <v>249</v>
      </c>
      <c r="I90" s="501">
        <v>44</v>
      </c>
      <c r="J90" s="501">
        <v>44</v>
      </c>
      <c r="K90" s="501">
        <v>44</v>
      </c>
      <c r="L90" s="501" t="s">
        <v>249</v>
      </c>
      <c r="M90" s="502" t="s">
        <v>249</v>
      </c>
      <c r="N90" s="503">
        <v>44</v>
      </c>
      <c r="P90" s="477"/>
    </row>
    <row r="91" spans="1:16" ht="16.399999999999999" customHeight="1">
      <c r="N91" s="100" t="s">
        <v>68</v>
      </c>
    </row>
    <row r="92" spans="1:16" ht="16.399999999999999" customHeight="1">
      <c r="M92" s="504"/>
      <c r="N92" s="298"/>
    </row>
  </sheetData>
  <mergeCells count="5">
    <mergeCell ref="B4:N4"/>
    <mergeCell ref="B5:N5"/>
    <mergeCell ref="B6:N6"/>
    <mergeCell ref="B7:N7"/>
    <mergeCell ref="B8:N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3" orientation="portrait" r:id="rId1"/>
  <headerFooter scaleWithDoc="0" alignWithMargins="0">
    <oddHeader>&amp;R&amp;"Verdana,Normal"&amp;8 16</oddHeader>
    <oddFooter>&amp;R&amp;"Verdana,Cursiva"&amp;8Subdirección General de Análisis, Coordinación y Estadística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AF43-165D-4D74-9768-1287B456118C}">
  <sheetPr>
    <pageSetUpPr fitToPage="1"/>
  </sheetPr>
  <dimension ref="A2:I39"/>
  <sheetViews>
    <sheetView showGridLines="0" zoomScaleNormal="100" zoomScaleSheetLayoutView="100" workbookViewId="0"/>
  </sheetViews>
  <sheetFormatPr baseColWidth="10" defaultColWidth="14.453125" defaultRowHeight="14"/>
  <cols>
    <col min="1" max="1" width="3" style="505" customWidth="1"/>
    <col min="2" max="2" width="41.54296875" style="469" bestFit="1" customWidth="1"/>
    <col min="3" max="3" width="14.453125" style="469" customWidth="1"/>
    <col min="4" max="4" width="35.54296875" style="469" bestFit="1" customWidth="1"/>
    <col min="5" max="5" width="8.54296875" style="469" customWidth="1"/>
    <col min="6" max="6" width="24.54296875" style="469" customWidth="1"/>
    <col min="7" max="7" width="60.453125" style="469" customWidth="1"/>
    <col min="8" max="8" width="4.453125" style="334" customWidth="1"/>
    <col min="9" max="9" width="10.54296875" style="334" customWidth="1"/>
    <col min="10" max="10" width="14.453125" style="334"/>
    <col min="11" max="12" width="16.54296875" style="334" bestFit="1" customWidth="1"/>
    <col min="13" max="13" width="14.453125" style="334" bestFit="1" customWidth="1"/>
    <col min="14" max="16384" width="14.453125" style="334"/>
  </cols>
  <sheetData>
    <row r="2" spans="1:9">
      <c r="G2" s="337"/>
      <c r="H2" s="338"/>
    </row>
    <row r="3" spans="1:9" ht="8.25" customHeight="1">
      <c r="H3" s="338"/>
    </row>
    <row r="4" spans="1:9" ht="0.75" customHeight="1" thickBot="1">
      <c r="H4" s="338"/>
    </row>
    <row r="5" spans="1:9" ht="26.25" customHeight="1" thickBot="1">
      <c r="B5" s="722" t="s">
        <v>427</v>
      </c>
      <c r="C5" s="723"/>
      <c r="D5" s="723"/>
      <c r="E5" s="723"/>
      <c r="F5" s="723"/>
      <c r="G5" s="724"/>
      <c r="H5" s="339"/>
    </row>
    <row r="6" spans="1:9" ht="15" customHeight="1">
      <c r="B6" s="726"/>
      <c r="C6" s="726"/>
      <c r="D6" s="726"/>
      <c r="E6" s="726"/>
      <c r="F6" s="726"/>
      <c r="G6" s="726"/>
      <c r="H6" s="341"/>
    </row>
    <row r="7" spans="1:9" ht="15" customHeight="1">
      <c r="B7" s="726" t="s">
        <v>351</v>
      </c>
      <c r="C7" s="726"/>
      <c r="D7" s="726"/>
      <c r="E7" s="726"/>
      <c r="F7" s="726"/>
      <c r="G7" s="726"/>
      <c r="H7" s="341"/>
    </row>
    <row r="8" spans="1:9" ht="15" customHeight="1">
      <c r="B8" s="420"/>
      <c r="C8" s="420"/>
      <c r="D8" s="420"/>
      <c r="E8" s="420"/>
      <c r="F8" s="420"/>
      <c r="G8" s="420"/>
      <c r="H8" s="341"/>
    </row>
    <row r="9" spans="1:9" ht="16.5" customHeight="1">
      <c r="B9" s="720" t="s">
        <v>352</v>
      </c>
      <c r="C9" s="720"/>
      <c r="D9" s="720"/>
      <c r="E9" s="720"/>
      <c r="F9" s="720"/>
      <c r="G9" s="720"/>
      <c r="H9" s="341"/>
    </row>
    <row r="10" spans="1:9" ht="12" customHeight="1">
      <c r="B10" s="422"/>
      <c r="C10" s="422"/>
      <c r="D10" s="422"/>
      <c r="E10" s="422"/>
      <c r="F10" s="422"/>
      <c r="G10" s="422"/>
      <c r="H10" s="341"/>
    </row>
    <row r="11" spans="1:9" ht="17.25" customHeight="1">
      <c r="A11" s="421"/>
      <c r="B11" s="721" t="s">
        <v>92</v>
      </c>
      <c r="C11" s="721"/>
      <c r="D11" s="721"/>
      <c r="E11" s="721"/>
      <c r="F11" s="721"/>
      <c r="G11" s="721"/>
      <c r="H11" s="423"/>
    </row>
    <row r="12" spans="1:9" ht="6.75" customHeight="1" thickBot="1">
      <c r="A12" s="421"/>
      <c r="B12" s="422"/>
      <c r="C12" s="422"/>
      <c r="D12" s="422"/>
      <c r="E12" s="422"/>
      <c r="F12" s="422"/>
      <c r="G12" s="422"/>
      <c r="H12" s="423"/>
    </row>
    <row r="13" spans="1:9" ht="16.399999999999999" customHeight="1">
      <c r="A13" s="421"/>
      <c r="B13" s="346" t="s">
        <v>232</v>
      </c>
      <c r="C13" s="347" t="s">
        <v>280</v>
      </c>
      <c r="D13" s="348" t="s">
        <v>281</v>
      </c>
      <c r="E13" s="347" t="s">
        <v>282</v>
      </c>
      <c r="F13" s="348" t="s">
        <v>283</v>
      </c>
      <c r="G13" s="424" t="s">
        <v>353</v>
      </c>
      <c r="H13" s="506"/>
    </row>
    <row r="14" spans="1:9" ht="16.399999999999999" customHeight="1">
      <c r="A14" s="421"/>
      <c r="B14" s="410"/>
      <c r="C14" s="356"/>
      <c r="D14" s="425" t="s">
        <v>286</v>
      </c>
      <c r="E14" s="356"/>
      <c r="F14" s="357"/>
      <c r="G14" s="426" t="s">
        <v>354</v>
      </c>
      <c r="H14" s="507"/>
    </row>
    <row r="15" spans="1:9" ht="30" customHeight="1">
      <c r="A15" s="421"/>
      <c r="B15" s="370" t="s">
        <v>365</v>
      </c>
      <c r="C15" s="363" t="s">
        <v>355</v>
      </c>
      <c r="D15" s="363" t="s">
        <v>367</v>
      </c>
      <c r="E15" s="363" t="s">
        <v>106</v>
      </c>
      <c r="F15" s="363" t="s">
        <v>368</v>
      </c>
      <c r="G15" s="428">
        <v>245.33</v>
      </c>
      <c r="H15" s="508"/>
      <c r="I15" s="509"/>
    </row>
    <row r="16" spans="1:9" ht="30" customHeight="1">
      <c r="A16" s="421"/>
      <c r="B16" s="370"/>
      <c r="C16" s="363" t="s">
        <v>355</v>
      </c>
      <c r="D16" s="363" t="s">
        <v>370</v>
      </c>
      <c r="E16" s="363" t="s">
        <v>106</v>
      </c>
      <c r="F16" s="363" t="s">
        <v>371</v>
      </c>
      <c r="G16" s="428">
        <v>289.97000000000003</v>
      </c>
      <c r="H16" s="508"/>
      <c r="I16" s="509"/>
    </row>
    <row r="17" spans="1:9" s="488" customFormat="1" ht="30" customHeight="1">
      <c r="A17" s="510"/>
      <c r="B17" s="511"/>
      <c r="C17" s="363" t="s">
        <v>355</v>
      </c>
      <c r="D17" s="363" t="s">
        <v>372</v>
      </c>
      <c r="E17" s="363" t="s">
        <v>106</v>
      </c>
      <c r="F17" s="363" t="s">
        <v>368</v>
      </c>
      <c r="G17" s="428">
        <v>240.66</v>
      </c>
      <c r="H17" s="512"/>
      <c r="I17" s="513"/>
    </row>
    <row r="18" spans="1:9" s="369" customFormat="1" ht="30" customHeight="1">
      <c r="A18" s="505"/>
      <c r="B18" s="427" t="s">
        <v>376</v>
      </c>
      <c r="C18" s="363" t="s">
        <v>355</v>
      </c>
      <c r="D18" s="363" t="s">
        <v>364</v>
      </c>
      <c r="E18" s="363" t="s">
        <v>106</v>
      </c>
      <c r="F18" s="431" t="s">
        <v>377</v>
      </c>
      <c r="G18" s="428">
        <v>232.13</v>
      </c>
      <c r="H18" s="368"/>
      <c r="I18" s="514"/>
    </row>
    <row r="19" spans="1:9" s="369" customFormat="1" ht="30" customHeight="1">
      <c r="A19" s="505"/>
      <c r="B19" s="427" t="s">
        <v>379</v>
      </c>
      <c r="C19" s="363" t="s">
        <v>355</v>
      </c>
      <c r="D19" s="363" t="s">
        <v>297</v>
      </c>
      <c r="E19" s="363" t="s">
        <v>106</v>
      </c>
      <c r="F19" s="431" t="s">
        <v>428</v>
      </c>
      <c r="G19" s="428">
        <v>224.01</v>
      </c>
      <c r="H19" s="368"/>
      <c r="I19" s="514"/>
    </row>
    <row r="20" spans="1:9" s="369" customFormat="1" ht="30" customHeight="1">
      <c r="A20" s="505"/>
      <c r="B20" s="427" t="s">
        <v>381</v>
      </c>
      <c r="C20" s="363" t="s">
        <v>355</v>
      </c>
      <c r="D20" s="363" t="s">
        <v>364</v>
      </c>
      <c r="E20" s="363" t="s">
        <v>106</v>
      </c>
      <c r="F20" s="431" t="s">
        <v>383</v>
      </c>
      <c r="G20" s="428">
        <v>44.97</v>
      </c>
      <c r="H20" s="368"/>
      <c r="I20" s="514"/>
    </row>
    <row r="21" spans="1:9" s="369" customFormat="1" ht="30" customHeight="1">
      <c r="A21" s="505"/>
      <c r="B21" s="515" t="s">
        <v>386</v>
      </c>
      <c r="C21" s="363" t="s">
        <v>355</v>
      </c>
      <c r="D21" s="363" t="s">
        <v>387</v>
      </c>
      <c r="E21" s="363" t="s">
        <v>106</v>
      </c>
      <c r="F21" s="431" t="s">
        <v>429</v>
      </c>
      <c r="G21" s="516">
        <v>230.66</v>
      </c>
      <c r="H21" s="368"/>
      <c r="I21" s="514"/>
    </row>
    <row r="22" spans="1:9" s="369" customFormat="1" ht="30" customHeight="1">
      <c r="A22" s="505"/>
      <c r="B22" s="427" t="s">
        <v>389</v>
      </c>
      <c r="C22" s="363" t="s">
        <v>355</v>
      </c>
      <c r="D22" s="363" t="s">
        <v>364</v>
      </c>
      <c r="E22" s="363" t="s">
        <v>106</v>
      </c>
      <c r="F22" s="431" t="s">
        <v>391</v>
      </c>
      <c r="G22" s="516">
        <v>111.72</v>
      </c>
      <c r="H22" s="368"/>
      <c r="I22" s="514"/>
    </row>
    <row r="23" spans="1:9" s="369" customFormat="1" ht="30" customHeight="1">
      <c r="A23" s="505"/>
      <c r="B23" s="427" t="s">
        <v>392</v>
      </c>
      <c r="C23" s="363" t="s">
        <v>355</v>
      </c>
      <c r="D23" s="363" t="s">
        <v>364</v>
      </c>
      <c r="E23" s="363" t="s">
        <v>106</v>
      </c>
      <c r="F23" s="431" t="s">
        <v>106</v>
      </c>
      <c r="G23" s="516">
        <v>166.89</v>
      </c>
      <c r="H23" s="368"/>
      <c r="I23" s="514"/>
    </row>
    <row r="24" spans="1:9" s="369" customFormat="1" ht="30" customHeight="1">
      <c r="A24" s="505"/>
      <c r="B24" s="427" t="s">
        <v>400</v>
      </c>
      <c r="C24" s="363" t="s">
        <v>355</v>
      </c>
      <c r="D24" s="363" t="s">
        <v>364</v>
      </c>
      <c r="E24" s="363" t="s">
        <v>106</v>
      </c>
      <c r="F24" s="431" t="s">
        <v>106</v>
      </c>
      <c r="G24" s="428">
        <v>422.69</v>
      </c>
      <c r="H24" s="368"/>
      <c r="I24" s="514"/>
    </row>
    <row r="25" spans="1:9" s="369" customFormat="1" ht="30" customHeight="1">
      <c r="A25" s="505"/>
      <c r="B25" s="427" t="s">
        <v>402</v>
      </c>
      <c r="C25" s="363" t="s">
        <v>355</v>
      </c>
      <c r="D25" s="363" t="s">
        <v>364</v>
      </c>
      <c r="E25" s="363" t="s">
        <v>291</v>
      </c>
      <c r="F25" s="431" t="s">
        <v>430</v>
      </c>
      <c r="G25" s="428">
        <v>150.29</v>
      </c>
      <c r="H25" s="368"/>
      <c r="I25" s="514"/>
    </row>
    <row r="26" spans="1:9" s="369" customFormat="1" ht="30" customHeight="1">
      <c r="A26" s="505"/>
      <c r="B26" s="427" t="s">
        <v>431</v>
      </c>
      <c r="C26" s="363" t="s">
        <v>355</v>
      </c>
      <c r="D26" s="431" t="s">
        <v>297</v>
      </c>
      <c r="E26" s="431" t="s">
        <v>106</v>
      </c>
      <c r="F26" s="431" t="s">
        <v>432</v>
      </c>
      <c r="G26" s="428">
        <v>52.41</v>
      </c>
      <c r="H26" s="368"/>
      <c r="I26" s="514"/>
    </row>
    <row r="27" spans="1:9" s="369" customFormat="1" ht="30" customHeight="1">
      <c r="A27" s="505"/>
      <c r="B27" s="427" t="s">
        <v>407</v>
      </c>
      <c r="C27" s="363" t="s">
        <v>355</v>
      </c>
      <c r="D27" s="363" t="s">
        <v>433</v>
      </c>
      <c r="E27" s="363" t="s">
        <v>106</v>
      </c>
      <c r="F27" s="431" t="s">
        <v>409</v>
      </c>
      <c r="G27" s="428">
        <v>224.48</v>
      </c>
      <c r="H27" s="368"/>
      <c r="I27" s="514"/>
    </row>
    <row r="28" spans="1:9" s="369" customFormat="1" ht="30" customHeight="1">
      <c r="A28" s="505"/>
      <c r="B28" s="427" t="s">
        <v>411</v>
      </c>
      <c r="C28" s="363" t="s">
        <v>355</v>
      </c>
      <c r="D28" s="363" t="s">
        <v>364</v>
      </c>
      <c r="E28" s="363" t="s">
        <v>291</v>
      </c>
      <c r="F28" s="431" t="s">
        <v>434</v>
      </c>
      <c r="G28" s="428">
        <v>203.79</v>
      </c>
      <c r="H28" s="368"/>
      <c r="I28" s="514"/>
    </row>
    <row r="29" spans="1:9" ht="30" customHeight="1">
      <c r="A29" s="421"/>
      <c r="B29" s="361" t="s">
        <v>417</v>
      </c>
      <c r="C29" s="363" t="s">
        <v>355</v>
      </c>
      <c r="D29" s="363" t="s">
        <v>364</v>
      </c>
      <c r="E29" s="363" t="s">
        <v>106</v>
      </c>
      <c r="F29" s="363" t="s">
        <v>106</v>
      </c>
      <c r="G29" s="428">
        <v>125.65</v>
      </c>
      <c r="I29" s="509"/>
    </row>
    <row r="30" spans="1:9" ht="30" customHeight="1">
      <c r="A30" s="421"/>
      <c r="B30" s="361" t="s">
        <v>418</v>
      </c>
      <c r="C30" s="363" t="s">
        <v>355</v>
      </c>
      <c r="D30" s="363" t="s">
        <v>419</v>
      </c>
      <c r="E30" s="363" t="s">
        <v>291</v>
      </c>
      <c r="F30" s="363" t="s">
        <v>106</v>
      </c>
      <c r="G30" s="428">
        <v>236.59</v>
      </c>
      <c r="I30" s="509"/>
    </row>
    <row r="31" spans="1:9" ht="30" customHeight="1">
      <c r="A31" s="421"/>
      <c r="B31" s="370"/>
      <c r="C31" s="363" t="s">
        <v>355</v>
      </c>
      <c r="D31" s="363" t="s">
        <v>420</v>
      </c>
      <c r="E31" s="363" t="s">
        <v>291</v>
      </c>
      <c r="F31" s="363" t="s">
        <v>106</v>
      </c>
      <c r="G31" s="428">
        <v>137.52000000000001</v>
      </c>
      <c r="H31" s="508"/>
      <c r="I31" s="509"/>
    </row>
    <row r="32" spans="1:9" ht="30" customHeight="1">
      <c r="B32" s="511"/>
      <c r="C32" s="363" t="s">
        <v>355</v>
      </c>
      <c r="D32" s="363" t="s">
        <v>421</v>
      </c>
      <c r="E32" s="363" t="s">
        <v>291</v>
      </c>
      <c r="F32" s="363" t="s">
        <v>422</v>
      </c>
      <c r="G32" s="428">
        <v>121.99</v>
      </c>
      <c r="H32" s="508"/>
      <c r="I32" s="513"/>
    </row>
    <row r="33" spans="1:9" s="369" customFormat="1" ht="30" customHeight="1" thickBot="1">
      <c r="A33" s="505"/>
      <c r="B33" s="416" t="s">
        <v>423</v>
      </c>
      <c r="C33" s="381" t="s">
        <v>355</v>
      </c>
      <c r="D33" s="381" t="s">
        <v>364</v>
      </c>
      <c r="E33" s="381" t="s">
        <v>106</v>
      </c>
      <c r="F33" s="381" t="s">
        <v>106</v>
      </c>
      <c r="G33" s="517">
        <v>45.63</v>
      </c>
      <c r="H33" s="368"/>
      <c r="I33" s="514"/>
    </row>
    <row r="34" spans="1:9" ht="12.75" customHeight="1">
      <c r="A34" s="334"/>
      <c r="G34" s="162" t="s">
        <v>68</v>
      </c>
    </row>
    <row r="35" spans="1:9" ht="14.25" customHeight="1">
      <c r="A35" s="334"/>
      <c r="G35" s="298"/>
    </row>
    <row r="38" spans="1:9" ht="21" customHeight="1">
      <c r="A38" s="334"/>
    </row>
    <row r="39" spans="1:9" ht="18" customHeight="1">
      <c r="A39" s="334"/>
    </row>
  </sheetData>
  <mergeCells count="5">
    <mergeCell ref="B5:G5"/>
    <mergeCell ref="B6:G6"/>
    <mergeCell ref="B7:G7"/>
    <mergeCell ref="B9:G9"/>
    <mergeCell ref="B11:G1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6" orientation="portrait" r:id="rId1"/>
  <headerFooter scaleWithDoc="0" alignWithMargins="0">
    <oddHeader>&amp;R&amp;"Verdana,Normal"&amp;8 17</oddHeader>
    <oddFooter>&amp;R&amp;"Verdana,Cursiva"&amp;8Subdirección General de Análisis, Coordinación y Estadística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EE5A-18B2-4F48-B8F7-1C82132A8DCE}">
  <sheetPr>
    <pageSetUpPr fitToPage="1"/>
  </sheetPr>
  <dimension ref="B3:J54"/>
  <sheetViews>
    <sheetView showGridLines="0" zoomScale="115" zoomScaleNormal="115" zoomScaleSheetLayoutView="90" workbookViewId="0"/>
  </sheetViews>
  <sheetFormatPr baseColWidth="10" defaultColWidth="11.36328125" defaultRowHeight="12.5"/>
  <cols>
    <col min="1" max="1" width="2.81640625" style="518" customWidth="1"/>
    <col min="2" max="2" width="25" style="518" customWidth="1"/>
    <col min="3" max="3" width="11.6328125" style="518" customWidth="1"/>
    <col min="4" max="4" width="11.36328125" style="518"/>
    <col min="5" max="5" width="19" style="518" customWidth="1"/>
    <col min="6" max="7" width="16.6328125" style="518" customWidth="1"/>
    <col min="8" max="8" width="15.90625" style="518" customWidth="1"/>
    <col min="9" max="9" width="2.81640625" style="518" customWidth="1"/>
    <col min="10" max="16384" width="11.36328125" style="518"/>
  </cols>
  <sheetData>
    <row r="3" spans="2:10" ht="17.5">
      <c r="B3" s="712" t="s">
        <v>435</v>
      </c>
      <c r="C3" s="712"/>
      <c r="D3" s="712"/>
      <c r="E3" s="712"/>
      <c r="F3" s="712"/>
      <c r="G3" s="712"/>
      <c r="H3" s="712"/>
    </row>
    <row r="4" spans="2:10" ht="15">
      <c r="B4" s="731" t="s">
        <v>436</v>
      </c>
      <c r="C4" s="731"/>
      <c r="D4" s="731"/>
      <c r="E4" s="731"/>
      <c r="F4" s="731"/>
      <c r="G4" s="731"/>
      <c r="H4" s="731"/>
    </row>
    <row r="5" spans="2:10" ht="15.5" thickBot="1">
      <c r="B5" s="340"/>
      <c r="C5" s="340"/>
      <c r="D5" s="340"/>
      <c r="E5" s="340"/>
      <c r="F5" s="340"/>
      <c r="G5" s="340"/>
      <c r="H5" s="340"/>
    </row>
    <row r="6" spans="2:10" ht="14" thickBot="1">
      <c r="B6" s="722" t="s">
        <v>437</v>
      </c>
      <c r="C6" s="723"/>
      <c r="D6" s="723"/>
      <c r="E6" s="723"/>
      <c r="F6" s="723"/>
      <c r="G6" s="723"/>
      <c r="H6" s="724"/>
    </row>
    <row r="7" spans="2:10" ht="9" customHeight="1">
      <c r="B7" s="519"/>
      <c r="C7" s="519"/>
      <c r="D7" s="519"/>
      <c r="E7" s="519"/>
      <c r="F7" s="519"/>
      <c r="G7" s="519"/>
      <c r="H7" s="519"/>
    </row>
    <row r="8" spans="2:10">
      <c r="B8" s="732" t="s">
        <v>438</v>
      </c>
      <c r="C8" s="732"/>
      <c r="D8" s="732"/>
      <c r="E8" s="732"/>
      <c r="F8" s="732"/>
      <c r="G8" s="732"/>
      <c r="H8" s="732"/>
    </row>
    <row r="9" spans="2:10">
      <c r="B9" s="243" t="s">
        <v>439</v>
      </c>
      <c r="C9" s="243" t="s">
        <v>440</v>
      </c>
      <c r="D9" s="243"/>
      <c r="E9" s="243"/>
      <c r="F9" s="243"/>
      <c r="G9" s="243"/>
      <c r="H9" s="243"/>
    </row>
    <row r="10" spans="2:10" ht="13" thickBot="1">
      <c r="B10" s="520"/>
      <c r="C10" s="520"/>
      <c r="D10" s="520"/>
      <c r="E10" s="520"/>
      <c r="F10" s="520"/>
      <c r="G10" s="520"/>
      <c r="H10" s="520"/>
    </row>
    <row r="11" spans="2:10" ht="12.75" customHeight="1">
      <c r="B11" s="521"/>
      <c r="C11" s="522" t="s">
        <v>441</v>
      </c>
      <c r="D11" s="523"/>
      <c r="E11" s="524"/>
      <c r="F11" s="733" t="s">
        <v>442</v>
      </c>
      <c r="G11" s="733" t="s">
        <v>443</v>
      </c>
      <c r="H11" s="525"/>
    </row>
    <row r="12" spans="2:10">
      <c r="B12" s="526" t="s">
        <v>444</v>
      </c>
      <c r="C12" s="527" t="s">
        <v>445</v>
      </c>
      <c r="D12" s="528"/>
      <c r="E12" s="529"/>
      <c r="F12" s="734"/>
      <c r="G12" s="734"/>
      <c r="H12" s="530" t="s">
        <v>446</v>
      </c>
    </row>
    <row r="13" spans="2:10" ht="13" thickBot="1">
      <c r="B13" s="531"/>
      <c r="C13" s="532" t="s">
        <v>447</v>
      </c>
      <c r="D13" s="533"/>
      <c r="E13" s="534"/>
      <c r="F13" s="735"/>
      <c r="G13" s="735"/>
      <c r="H13" s="535"/>
    </row>
    <row r="14" spans="2:10" ht="15.9" customHeight="1">
      <c r="B14" s="729" t="s">
        <v>448</v>
      </c>
      <c r="C14" s="536" t="s">
        <v>449</v>
      </c>
      <c r="D14" s="537"/>
      <c r="E14" s="538"/>
      <c r="F14" s="539">
        <v>759.91</v>
      </c>
      <c r="G14" s="540">
        <v>773.9</v>
      </c>
      <c r="H14" s="541">
        <f>G14-F14</f>
        <v>13.990000000000009</v>
      </c>
      <c r="J14" s="542"/>
    </row>
    <row r="15" spans="2:10" ht="15.9" customHeight="1">
      <c r="B15" s="729"/>
      <c r="C15" s="543" t="s">
        <v>450</v>
      </c>
      <c r="D15" s="240"/>
      <c r="E15" s="544"/>
      <c r="F15" s="545">
        <v>736.16</v>
      </c>
      <c r="G15" s="546">
        <v>780.47</v>
      </c>
      <c r="H15" s="547">
        <f t="shared" ref="H15:H52" si="0">G15-F15</f>
        <v>44.310000000000059</v>
      </c>
      <c r="J15" s="542"/>
    </row>
    <row r="16" spans="2:10" ht="15.9" customHeight="1">
      <c r="B16" s="729"/>
      <c r="C16" s="548" t="s">
        <v>451</v>
      </c>
      <c r="D16" s="549"/>
      <c r="E16" s="550"/>
      <c r="F16" s="545">
        <v>773.72</v>
      </c>
      <c r="G16" s="546">
        <v>760.55</v>
      </c>
      <c r="H16" s="547">
        <f t="shared" si="0"/>
        <v>-13.170000000000073</v>
      </c>
      <c r="J16" s="542"/>
    </row>
    <row r="17" spans="2:10" ht="15.9" customHeight="1">
      <c r="B17" s="729"/>
      <c r="C17" s="551" t="s">
        <v>452</v>
      </c>
      <c r="D17" s="549"/>
      <c r="E17" s="550"/>
      <c r="F17" s="552">
        <v>743.19</v>
      </c>
      <c r="G17" s="553">
        <v>752.99</v>
      </c>
      <c r="H17" s="554">
        <f t="shared" si="0"/>
        <v>9.7999999999999545</v>
      </c>
      <c r="J17" s="542"/>
    </row>
    <row r="18" spans="2:10" ht="15.9" customHeight="1">
      <c r="B18" s="729"/>
      <c r="C18" s="543" t="s">
        <v>453</v>
      </c>
      <c r="D18" s="240"/>
      <c r="E18" s="544"/>
      <c r="F18" s="545">
        <v>740.08</v>
      </c>
      <c r="G18" s="546">
        <v>760.73</v>
      </c>
      <c r="H18" s="547">
        <f t="shared" si="0"/>
        <v>20.649999999999977</v>
      </c>
      <c r="J18" s="542"/>
    </row>
    <row r="19" spans="2:10" ht="15.9" customHeight="1">
      <c r="B19" s="729"/>
      <c r="C19" s="548" t="s">
        <v>454</v>
      </c>
      <c r="D19" s="549"/>
      <c r="E19" s="550"/>
      <c r="F19" s="545">
        <v>737.83</v>
      </c>
      <c r="G19" s="546">
        <v>742.3</v>
      </c>
      <c r="H19" s="547">
        <f t="shared" si="0"/>
        <v>4.4699999999999136</v>
      </c>
      <c r="J19" s="542"/>
    </row>
    <row r="20" spans="2:10" ht="15.9" customHeight="1">
      <c r="B20" s="729"/>
      <c r="C20" s="551" t="s">
        <v>455</v>
      </c>
      <c r="D20" s="549"/>
      <c r="E20" s="550"/>
      <c r="F20" s="555">
        <v>671.21</v>
      </c>
      <c r="G20" s="556">
        <v>706.94</v>
      </c>
      <c r="H20" s="557">
        <f t="shared" si="0"/>
        <v>35.730000000000018</v>
      </c>
      <c r="J20" s="542"/>
    </row>
    <row r="21" spans="2:10" ht="15.9" customHeight="1">
      <c r="B21" s="558"/>
      <c r="C21" s="543" t="s">
        <v>456</v>
      </c>
      <c r="D21" s="240"/>
      <c r="E21" s="544"/>
      <c r="F21" s="545">
        <v>700.29</v>
      </c>
      <c r="G21" s="546">
        <v>722.37</v>
      </c>
      <c r="H21" s="547">
        <f t="shared" si="0"/>
        <v>22.080000000000041</v>
      </c>
      <c r="J21" s="542"/>
    </row>
    <row r="22" spans="2:10" ht="15.9" customHeight="1" thickBot="1">
      <c r="B22" s="558"/>
      <c r="C22" s="548" t="s">
        <v>457</v>
      </c>
      <c r="D22" s="549"/>
      <c r="E22" s="550"/>
      <c r="F22" s="545">
        <v>722.22</v>
      </c>
      <c r="G22" s="546">
        <v>686.48</v>
      </c>
      <c r="H22" s="547">
        <f t="shared" si="0"/>
        <v>-35.740000000000009</v>
      </c>
      <c r="J22" s="542"/>
    </row>
    <row r="23" spans="2:10" ht="15.9" customHeight="1">
      <c r="B23" s="730" t="s">
        <v>458</v>
      </c>
      <c r="C23" s="536" t="s">
        <v>459</v>
      </c>
      <c r="D23" s="537"/>
      <c r="E23" s="538"/>
      <c r="F23" s="559">
        <v>528.17999999999995</v>
      </c>
      <c r="G23" s="560">
        <v>531.65</v>
      </c>
      <c r="H23" s="561">
        <f t="shared" si="0"/>
        <v>3.4700000000000273</v>
      </c>
      <c r="J23" s="542"/>
    </row>
    <row r="24" spans="2:10" ht="15.9" customHeight="1">
      <c r="B24" s="729"/>
      <c r="C24" s="543" t="s">
        <v>460</v>
      </c>
      <c r="D24" s="240"/>
      <c r="E24" s="544"/>
      <c r="F24" s="545">
        <v>518.1</v>
      </c>
      <c r="G24" s="546">
        <v>528.29999999999995</v>
      </c>
      <c r="H24" s="547">
        <f t="shared" si="0"/>
        <v>10.199999999999932</v>
      </c>
      <c r="J24" s="542"/>
    </row>
    <row r="25" spans="2:10" ht="15.9" customHeight="1">
      <c r="B25" s="729"/>
      <c r="C25" s="548" t="s">
        <v>461</v>
      </c>
      <c r="D25" s="549"/>
      <c r="E25" s="550"/>
      <c r="F25" s="545">
        <v>516.33000000000004</v>
      </c>
      <c r="G25" s="546">
        <v>550.64</v>
      </c>
      <c r="H25" s="547">
        <f t="shared" si="0"/>
        <v>34.309999999999945</v>
      </c>
      <c r="J25" s="542"/>
    </row>
    <row r="26" spans="2:10" ht="15.9" customHeight="1">
      <c r="B26" s="729"/>
      <c r="C26" s="551" t="s">
        <v>452</v>
      </c>
      <c r="D26" s="549"/>
      <c r="E26" s="550"/>
      <c r="F26" s="555">
        <v>618.04999999999995</v>
      </c>
      <c r="G26" s="556">
        <v>599.86</v>
      </c>
      <c r="H26" s="557">
        <f t="shared" si="0"/>
        <v>-18.189999999999941</v>
      </c>
      <c r="J26" s="542"/>
    </row>
    <row r="27" spans="2:10" ht="15.9" customHeight="1">
      <c r="B27" s="729"/>
      <c r="C27" s="543" t="s">
        <v>454</v>
      </c>
      <c r="D27" s="240"/>
      <c r="E27" s="544"/>
      <c r="F27" s="545">
        <v>609.48</v>
      </c>
      <c r="G27" s="546">
        <v>593.07000000000005</v>
      </c>
      <c r="H27" s="547">
        <f t="shared" si="0"/>
        <v>-16.409999999999968</v>
      </c>
      <c r="J27" s="542"/>
    </row>
    <row r="28" spans="2:10" ht="15.9" customHeight="1">
      <c r="B28" s="729"/>
      <c r="C28" s="548" t="s">
        <v>462</v>
      </c>
      <c r="D28" s="549"/>
      <c r="E28" s="550"/>
      <c r="F28" s="545">
        <v>606.78</v>
      </c>
      <c r="G28" s="546">
        <v>621.36</v>
      </c>
      <c r="H28" s="547">
        <f t="shared" si="0"/>
        <v>14.580000000000041</v>
      </c>
      <c r="J28" s="542"/>
    </row>
    <row r="29" spans="2:10" ht="15.9" customHeight="1">
      <c r="B29" s="729"/>
      <c r="C29" s="551" t="s">
        <v>455</v>
      </c>
      <c r="D29" s="549"/>
      <c r="E29" s="550"/>
      <c r="F29" s="555">
        <v>709.87</v>
      </c>
      <c r="G29" s="556">
        <v>603.74</v>
      </c>
      <c r="H29" s="557">
        <f t="shared" si="0"/>
        <v>-106.13</v>
      </c>
      <c r="J29" s="542"/>
    </row>
    <row r="30" spans="2:10" ht="15.9" customHeight="1">
      <c r="B30" s="558"/>
      <c r="C30" s="562" t="s">
        <v>456</v>
      </c>
      <c r="D30" s="563"/>
      <c r="E30" s="544"/>
      <c r="F30" s="545">
        <v>598.08000000000004</v>
      </c>
      <c r="G30" s="546">
        <v>573.66999999999996</v>
      </c>
      <c r="H30" s="547">
        <f t="shared" si="0"/>
        <v>-24.410000000000082</v>
      </c>
      <c r="J30" s="542"/>
    </row>
    <row r="31" spans="2:10" ht="15.9" customHeight="1">
      <c r="B31" s="558"/>
      <c r="C31" s="562" t="s">
        <v>463</v>
      </c>
      <c r="D31" s="563"/>
      <c r="E31" s="544"/>
      <c r="F31" s="545">
        <v>536.41</v>
      </c>
      <c r="G31" s="546">
        <v>596.41</v>
      </c>
      <c r="H31" s="547">
        <f t="shared" si="0"/>
        <v>60</v>
      </c>
      <c r="J31" s="542"/>
    </row>
    <row r="32" spans="2:10" ht="15.9" customHeight="1" thickBot="1">
      <c r="B32" s="558"/>
      <c r="C32" s="564" t="s">
        <v>464</v>
      </c>
      <c r="D32" s="565"/>
      <c r="E32" s="550"/>
      <c r="F32" s="545">
        <v>607.08000000000004</v>
      </c>
      <c r="G32" s="546">
        <v>693.36</v>
      </c>
      <c r="H32" s="547">
        <f t="shared" si="0"/>
        <v>86.279999999999973</v>
      </c>
      <c r="J32" s="542"/>
    </row>
    <row r="33" spans="2:10" ht="15.9" customHeight="1">
      <c r="B33" s="730" t="s">
        <v>465</v>
      </c>
      <c r="C33" s="536" t="s">
        <v>449</v>
      </c>
      <c r="D33" s="537"/>
      <c r="E33" s="538"/>
      <c r="F33" s="559">
        <v>764.1</v>
      </c>
      <c r="G33" s="560">
        <v>765.45</v>
      </c>
      <c r="H33" s="561">
        <f t="shared" si="0"/>
        <v>1.3500000000000227</v>
      </c>
      <c r="J33" s="542"/>
    </row>
    <row r="34" spans="2:10" ht="15.9" customHeight="1">
      <c r="B34" s="729"/>
      <c r="C34" s="543" t="s">
        <v>450</v>
      </c>
      <c r="D34" s="240"/>
      <c r="E34" s="544"/>
      <c r="F34" s="545">
        <v>769.76</v>
      </c>
      <c r="G34" s="546">
        <v>784.28</v>
      </c>
      <c r="H34" s="547">
        <f t="shared" si="0"/>
        <v>14.519999999999982</v>
      </c>
      <c r="J34" s="542"/>
    </row>
    <row r="35" spans="2:10" ht="15.9" customHeight="1">
      <c r="B35" s="729"/>
      <c r="C35" s="548" t="s">
        <v>451</v>
      </c>
      <c r="D35" s="549"/>
      <c r="E35" s="550"/>
      <c r="F35" s="545">
        <v>783.64</v>
      </c>
      <c r="G35" s="546">
        <v>757.76</v>
      </c>
      <c r="H35" s="547">
        <f t="shared" si="0"/>
        <v>-25.879999999999995</v>
      </c>
      <c r="J35" s="542"/>
    </row>
    <row r="36" spans="2:10" ht="15.9" customHeight="1">
      <c r="B36" s="729"/>
      <c r="C36" s="551" t="s">
        <v>452</v>
      </c>
      <c r="D36" s="549"/>
      <c r="E36" s="550"/>
      <c r="F36" s="555">
        <v>682.19</v>
      </c>
      <c r="G36" s="556">
        <v>756.08</v>
      </c>
      <c r="H36" s="557">
        <f t="shared" si="0"/>
        <v>73.889999999999986</v>
      </c>
      <c r="J36" s="542"/>
    </row>
    <row r="37" spans="2:10" ht="15.9" customHeight="1">
      <c r="B37" s="729"/>
      <c r="C37" s="543" t="s">
        <v>453</v>
      </c>
      <c r="D37" s="240"/>
      <c r="E37" s="544"/>
      <c r="F37" s="545">
        <v>758.25</v>
      </c>
      <c r="G37" s="546">
        <v>776.52</v>
      </c>
      <c r="H37" s="547">
        <f t="shared" si="0"/>
        <v>18.269999999999982</v>
      </c>
      <c r="J37" s="542"/>
    </row>
    <row r="38" spans="2:10" ht="15.9" customHeight="1">
      <c r="B38" s="729"/>
      <c r="C38" s="562" t="s">
        <v>454</v>
      </c>
      <c r="D38" s="563"/>
      <c r="E38" s="544"/>
      <c r="F38" s="545">
        <v>779.29</v>
      </c>
      <c r="G38" s="546">
        <v>769.17</v>
      </c>
      <c r="H38" s="547">
        <f t="shared" si="0"/>
        <v>-10.120000000000005</v>
      </c>
      <c r="J38" s="542"/>
    </row>
    <row r="39" spans="2:10" ht="15.9" customHeight="1">
      <c r="B39" s="729"/>
      <c r="C39" s="564" t="s">
        <v>462</v>
      </c>
      <c r="D39" s="565"/>
      <c r="E39" s="550"/>
      <c r="F39" s="545">
        <v>769.48</v>
      </c>
      <c r="G39" s="546">
        <v>672.59</v>
      </c>
      <c r="H39" s="547">
        <f t="shared" si="0"/>
        <v>-96.889999999999986</v>
      </c>
      <c r="J39" s="542"/>
    </row>
    <row r="40" spans="2:10" ht="15.9" customHeight="1">
      <c r="B40" s="558"/>
      <c r="C40" s="551" t="s">
        <v>455</v>
      </c>
      <c r="D40" s="549"/>
      <c r="E40" s="550"/>
      <c r="F40" s="555">
        <v>681.9</v>
      </c>
      <c r="G40" s="556">
        <v>627.91999999999996</v>
      </c>
      <c r="H40" s="557">
        <f t="shared" si="0"/>
        <v>-53.980000000000018</v>
      </c>
      <c r="J40" s="542"/>
    </row>
    <row r="41" spans="2:10" ht="15.9" customHeight="1">
      <c r="B41" s="558"/>
      <c r="C41" s="562" t="s">
        <v>456</v>
      </c>
      <c r="D41" s="566"/>
      <c r="E41" s="567"/>
      <c r="F41" s="545">
        <v>685.12</v>
      </c>
      <c r="G41" s="546">
        <v>631.17999999999995</v>
      </c>
      <c r="H41" s="547">
        <f t="shared" si="0"/>
        <v>-53.940000000000055</v>
      </c>
      <c r="J41" s="542"/>
    </row>
    <row r="42" spans="2:10" ht="15.9" customHeight="1">
      <c r="B42" s="558"/>
      <c r="C42" s="562" t="s">
        <v>463</v>
      </c>
      <c r="D42" s="563"/>
      <c r="E42" s="544"/>
      <c r="F42" s="545">
        <v>666.39</v>
      </c>
      <c r="G42" s="546">
        <v>611.41</v>
      </c>
      <c r="H42" s="547">
        <f t="shared" si="0"/>
        <v>-54.980000000000018</v>
      </c>
      <c r="J42" s="542"/>
    </row>
    <row r="43" spans="2:10" ht="15.9" customHeight="1" thickBot="1">
      <c r="B43" s="558"/>
      <c r="C43" s="562" t="s">
        <v>466</v>
      </c>
      <c r="D43" s="563"/>
      <c r="E43" s="544"/>
      <c r="F43" s="545">
        <v>693.28</v>
      </c>
      <c r="G43" s="546">
        <v>689.93</v>
      </c>
      <c r="H43" s="547">
        <f t="shared" si="0"/>
        <v>-3.3500000000000227</v>
      </c>
      <c r="J43" s="542"/>
    </row>
    <row r="44" spans="2:10" ht="15.9" customHeight="1">
      <c r="B44" s="730" t="s">
        <v>467</v>
      </c>
      <c r="C44" s="536" t="s">
        <v>449</v>
      </c>
      <c r="D44" s="537"/>
      <c r="E44" s="538"/>
      <c r="F44" s="539">
        <v>760.43</v>
      </c>
      <c r="G44" s="540">
        <v>766.64</v>
      </c>
      <c r="H44" s="541">
        <f t="shared" si="0"/>
        <v>6.2100000000000364</v>
      </c>
      <c r="J44" s="542"/>
    </row>
    <row r="45" spans="2:10" ht="15.9" customHeight="1">
      <c r="B45" s="729"/>
      <c r="C45" s="543" t="s">
        <v>450</v>
      </c>
      <c r="D45" s="240"/>
      <c r="E45" s="544"/>
      <c r="F45" s="545">
        <v>765.73</v>
      </c>
      <c r="G45" s="546">
        <v>784.9</v>
      </c>
      <c r="H45" s="547">
        <f t="shared" si="0"/>
        <v>19.169999999999959</v>
      </c>
      <c r="J45" s="542"/>
    </row>
    <row r="46" spans="2:10" ht="15.9" customHeight="1">
      <c r="B46" s="729"/>
      <c r="C46" s="548" t="s">
        <v>451</v>
      </c>
      <c r="D46" s="549"/>
      <c r="E46" s="550"/>
      <c r="F46" s="545">
        <v>772.75</v>
      </c>
      <c r="G46" s="546">
        <v>752.87</v>
      </c>
      <c r="H46" s="547">
        <f t="shared" si="0"/>
        <v>-19.879999999999995</v>
      </c>
      <c r="J46" s="542"/>
    </row>
    <row r="47" spans="2:10" ht="15.9" customHeight="1">
      <c r="B47" s="729"/>
      <c r="C47" s="551" t="s">
        <v>452</v>
      </c>
      <c r="D47" s="549"/>
      <c r="E47" s="550"/>
      <c r="F47" s="555">
        <v>734.25</v>
      </c>
      <c r="G47" s="556">
        <v>741.57</v>
      </c>
      <c r="H47" s="557">
        <f t="shared" si="0"/>
        <v>7.32000000000005</v>
      </c>
      <c r="J47" s="542"/>
    </row>
    <row r="48" spans="2:10" ht="15.9" customHeight="1">
      <c r="B48" s="729"/>
      <c r="C48" s="543" t="s">
        <v>453</v>
      </c>
      <c r="D48" s="240"/>
      <c r="E48" s="544"/>
      <c r="F48" s="545">
        <v>736.78</v>
      </c>
      <c r="G48" s="546">
        <v>742.61</v>
      </c>
      <c r="H48" s="547">
        <f t="shared" si="0"/>
        <v>5.8300000000000409</v>
      </c>
      <c r="J48" s="542"/>
    </row>
    <row r="49" spans="2:10" ht="15.9" customHeight="1">
      <c r="B49" s="729"/>
      <c r="C49" s="548" t="s">
        <v>454</v>
      </c>
      <c r="D49" s="549"/>
      <c r="E49" s="550"/>
      <c r="F49" s="545">
        <v>744.39</v>
      </c>
      <c r="G49" s="546">
        <v>741.22</v>
      </c>
      <c r="H49" s="547">
        <f t="shared" si="0"/>
        <v>-3.1699999999999591</v>
      </c>
      <c r="J49" s="542"/>
    </row>
    <row r="50" spans="2:10" ht="15.9" customHeight="1">
      <c r="B50" s="729"/>
      <c r="C50" s="551" t="s">
        <v>455</v>
      </c>
      <c r="D50" s="549"/>
      <c r="E50" s="550"/>
      <c r="F50" s="555">
        <v>655.29</v>
      </c>
      <c r="G50" s="556">
        <v>673.03</v>
      </c>
      <c r="H50" s="557">
        <f t="shared" si="0"/>
        <v>17.740000000000009</v>
      </c>
      <c r="J50" s="542"/>
    </row>
    <row r="51" spans="2:10" ht="15.9" customHeight="1">
      <c r="B51" s="558"/>
      <c r="C51" s="543" t="s">
        <v>456</v>
      </c>
      <c r="D51" s="240"/>
      <c r="E51" s="544"/>
      <c r="F51" s="545">
        <v>681.39</v>
      </c>
      <c r="G51" s="546">
        <v>677.33</v>
      </c>
      <c r="H51" s="547">
        <f t="shared" si="0"/>
        <v>-4.0599999999999454</v>
      </c>
      <c r="J51" s="542"/>
    </row>
    <row r="52" spans="2:10" ht="15.9" customHeight="1" thickBot="1">
      <c r="B52" s="568"/>
      <c r="C52" s="569" t="s">
        <v>457</v>
      </c>
      <c r="D52" s="570"/>
      <c r="E52" s="571"/>
      <c r="F52" s="572">
        <v>695.44</v>
      </c>
      <c r="G52" s="573">
        <v>665.04</v>
      </c>
      <c r="H52" s="574">
        <f t="shared" si="0"/>
        <v>-30.400000000000091</v>
      </c>
      <c r="J52" s="542"/>
    </row>
    <row r="53" spans="2:10" ht="13">
      <c r="B53" s="575" t="s">
        <v>468</v>
      </c>
      <c r="H53" s="162"/>
    </row>
    <row r="54" spans="2:10">
      <c r="F54" s="162"/>
      <c r="G54" s="162"/>
      <c r="H54" s="162" t="s">
        <v>68</v>
      </c>
    </row>
  </sheetData>
  <mergeCells count="10">
    <mergeCell ref="B14:B20"/>
    <mergeCell ref="B23:B29"/>
    <mergeCell ref="B33:B39"/>
    <mergeCell ref="B44:B50"/>
    <mergeCell ref="B3:H3"/>
    <mergeCell ref="B4:H4"/>
    <mergeCell ref="B6:H6"/>
    <mergeCell ref="B8:H8"/>
    <mergeCell ref="F11:F13"/>
    <mergeCell ref="G11:G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headerFooter scaleWithDoc="0" alignWithMargins="0">
    <oddHeader>&amp;R&amp;"Verdana,Normal"&amp;8 18</oddHeader>
    <oddFooter>&amp;R&amp;"Verdana,Cursiva"&amp;8Subdirección General de Análisis, Coordinación y Estadística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E5F8-0105-4ADB-B488-3BFCFF5BCF7E}">
  <sheetPr>
    <pageSetUpPr fitToPage="1"/>
  </sheetPr>
  <dimension ref="A1:J40"/>
  <sheetViews>
    <sheetView showGridLines="0" topLeftCell="A12" zoomScale="115" zoomScaleNormal="115" zoomScaleSheetLayoutView="90" workbookViewId="0">
      <selection activeCell="A12" sqref="A12"/>
    </sheetView>
  </sheetViews>
  <sheetFormatPr baseColWidth="10" defaultColWidth="9.08984375" defaultRowHeight="11.5"/>
  <cols>
    <col min="1" max="1" width="1" style="240" customWidth="1"/>
    <col min="2" max="2" width="48.6328125" style="240" customWidth="1"/>
    <col min="3" max="5" width="17.81640625" style="240" customWidth="1"/>
    <col min="6" max="6" width="4.08984375" style="240" customWidth="1"/>
    <col min="7" max="16384" width="9.08984375" style="240"/>
  </cols>
  <sheetData>
    <row r="1" spans="1:10">
      <c r="A1" s="240" t="s">
        <v>284</v>
      </c>
    </row>
    <row r="2" spans="1:10" ht="10.25" customHeight="1" thickBot="1">
      <c r="B2" s="576"/>
      <c r="C2" s="576"/>
      <c r="D2" s="576"/>
      <c r="E2" s="576"/>
    </row>
    <row r="3" spans="1:10" ht="18.649999999999999" customHeight="1" thickBot="1">
      <c r="B3" s="722" t="s">
        <v>469</v>
      </c>
      <c r="C3" s="723"/>
      <c r="D3" s="723"/>
      <c r="E3" s="724"/>
    </row>
    <row r="4" spans="1:10" ht="13.25" customHeight="1" thickBot="1">
      <c r="B4" s="736" t="s">
        <v>470</v>
      </c>
      <c r="C4" s="736"/>
      <c r="D4" s="736"/>
      <c r="E4" s="736"/>
      <c r="F4" s="243"/>
      <c r="G4" s="243"/>
    </row>
    <row r="5" spans="1:10" ht="40.25" customHeight="1">
      <c r="B5" s="577" t="s">
        <v>471</v>
      </c>
      <c r="C5" s="578" t="s">
        <v>472</v>
      </c>
      <c r="D5" s="578" t="s">
        <v>473</v>
      </c>
      <c r="E5" s="579" t="s">
        <v>187</v>
      </c>
      <c r="F5" s="243"/>
      <c r="G5" s="243"/>
    </row>
    <row r="6" spans="1:10" ht="12.9" customHeight="1">
      <c r="B6" s="580" t="s">
        <v>474</v>
      </c>
      <c r="C6" s="581">
        <v>420.34</v>
      </c>
      <c r="D6" s="581">
        <v>420.34</v>
      </c>
      <c r="E6" s="582">
        <v>0</v>
      </c>
    </row>
    <row r="7" spans="1:10" ht="12.9" customHeight="1">
      <c r="B7" s="583" t="s">
        <v>475</v>
      </c>
      <c r="C7" s="584">
        <v>392.71</v>
      </c>
      <c r="D7" s="584">
        <v>392.72</v>
      </c>
      <c r="E7" s="582">
        <v>1.0000000000047748E-2</v>
      </c>
    </row>
    <row r="8" spans="1:10" ht="12.9" customHeight="1">
      <c r="B8" s="583" t="s">
        <v>476</v>
      </c>
      <c r="C8" s="584">
        <v>271.67</v>
      </c>
      <c r="D8" s="584">
        <v>270.95999999999998</v>
      </c>
      <c r="E8" s="582">
        <v>-0.71000000000003638</v>
      </c>
    </row>
    <row r="9" spans="1:10" ht="12.9" customHeight="1">
      <c r="B9" s="583" t="s">
        <v>477</v>
      </c>
      <c r="C9" s="584">
        <v>431.15</v>
      </c>
      <c r="D9" s="584">
        <v>431.19</v>
      </c>
      <c r="E9" s="582">
        <v>4.0000000000020464E-2</v>
      </c>
    </row>
    <row r="10" spans="1:10" ht="12.9" customHeight="1" thickBot="1">
      <c r="B10" s="585" t="s">
        <v>478</v>
      </c>
      <c r="C10" s="586">
        <v>432.65</v>
      </c>
      <c r="D10" s="586">
        <v>432.66</v>
      </c>
      <c r="E10" s="587">
        <v>1.0000000000047748E-2</v>
      </c>
    </row>
    <row r="11" spans="1:10" ht="12.9" customHeight="1" thickBot="1">
      <c r="B11" s="588"/>
      <c r="C11" s="589"/>
      <c r="D11" s="589"/>
      <c r="E11" s="590"/>
    </row>
    <row r="12" spans="1:10" ht="15.75" customHeight="1" thickBot="1">
      <c r="B12" s="722" t="s">
        <v>479</v>
      </c>
      <c r="C12" s="723"/>
      <c r="D12" s="723"/>
      <c r="E12" s="724"/>
    </row>
    <row r="13" spans="1:10" ht="12" customHeight="1" thickBot="1">
      <c r="B13" s="737"/>
      <c r="C13" s="737"/>
      <c r="D13" s="737"/>
      <c r="E13" s="737"/>
      <c r="J13" s="591"/>
    </row>
    <row r="14" spans="1:10" ht="40.25" customHeight="1">
      <c r="B14" s="592" t="s">
        <v>480</v>
      </c>
      <c r="C14" s="578" t="s">
        <v>472</v>
      </c>
      <c r="D14" s="578" t="s">
        <v>473</v>
      </c>
      <c r="E14" s="593" t="s">
        <v>187</v>
      </c>
      <c r="J14" s="591"/>
    </row>
    <row r="15" spans="1:10" ht="12.9" customHeight="1">
      <c r="B15" s="594" t="s">
        <v>481</v>
      </c>
      <c r="C15" s="595"/>
      <c r="D15" s="595"/>
      <c r="E15" s="596"/>
    </row>
    <row r="16" spans="1:10" ht="12.9" customHeight="1">
      <c r="B16" s="594" t="s">
        <v>482</v>
      </c>
      <c r="C16" s="597">
        <v>178.9</v>
      </c>
      <c r="D16" s="597">
        <v>178.85</v>
      </c>
      <c r="E16" s="598">
        <v>-5.0000000000011369E-2</v>
      </c>
    </row>
    <row r="17" spans="2:5" ht="12.9" customHeight="1">
      <c r="B17" s="594" t="s">
        <v>483</v>
      </c>
      <c r="C17" s="597">
        <v>312.37</v>
      </c>
      <c r="D17" s="597">
        <v>311.83</v>
      </c>
      <c r="E17" s="598">
        <v>-0.54000000000002046</v>
      </c>
    </row>
    <row r="18" spans="2:5" ht="12.9" customHeight="1">
      <c r="B18" s="594" t="s">
        <v>484</v>
      </c>
      <c r="C18" s="597">
        <v>173.11</v>
      </c>
      <c r="D18" s="597">
        <v>166.76</v>
      </c>
      <c r="E18" s="598">
        <v>-6.3500000000000227</v>
      </c>
    </row>
    <row r="19" spans="2:5" ht="12.9" customHeight="1">
      <c r="B19" s="594" t="s">
        <v>485</v>
      </c>
      <c r="C19" s="597">
        <v>255.52</v>
      </c>
      <c r="D19" s="597">
        <v>255.57</v>
      </c>
      <c r="E19" s="598">
        <v>4.9999999999982947E-2</v>
      </c>
    </row>
    <row r="20" spans="2:5" ht="12.9" customHeight="1">
      <c r="B20" s="599" t="s">
        <v>486</v>
      </c>
      <c r="C20" s="600">
        <v>234.11</v>
      </c>
      <c r="D20" s="600">
        <v>233.46</v>
      </c>
      <c r="E20" s="601">
        <v>-0.65000000000000568</v>
      </c>
    </row>
    <row r="21" spans="2:5" ht="12.9" customHeight="1">
      <c r="B21" s="594" t="s">
        <v>487</v>
      </c>
      <c r="C21" s="602"/>
      <c r="D21" s="602"/>
      <c r="E21" s="603"/>
    </row>
    <row r="22" spans="2:5" ht="12.9" customHeight="1">
      <c r="B22" s="594" t="s">
        <v>488</v>
      </c>
      <c r="C22" s="597">
        <v>449.27</v>
      </c>
      <c r="D22" s="597">
        <v>449.27</v>
      </c>
      <c r="E22" s="603">
        <v>0</v>
      </c>
    </row>
    <row r="23" spans="2:5" ht="12.9" customHeight="1">
      <c r="B23" s="594" t="s">
        <v>489</v>
      </c>
      <c r="C23" s="584">
        <v>648.45000000000005</v>
      </c>
      <c r="D23" s="584">
        <v>648.45000000000005</v>
      </c>
      <c r="E23" s="603">
        <v>0</v>
      </c>
    </row>
    <row r="24" spans="2:5" ht="12.9" customHeight="1">
      <c r="B24" s="594" t="s">
        <v>490</v>
      </c>
      <c r="C24" s="584">
        <v>490</v>
      </c>
      <c r="D24" s="584">
        <v>490</v>
      </c>
      <c r="E24" s="603">
        <v>0</v>
      </c>
    </row>
    <row r="25" spans="2:5" ht="12.9" customHeight="1">
      <c r="B25" s="594" t="s">
        <v>491</v>
      </c>
      <c r="C25" s="584">
        <v>532.30999999999995</v>
      </c>
      <c r="D25" s="584">
        <v>532.30999999999995</v>
      </c>
      <c r="E25" s="603">
        <v>0</v>
      </c>
    </row>
    <row r="26" spans="2:5" ht="12.9" customHeight="1" thickBot="1">
      <c r="B26" s="604" t="s">
        <v>492</v>
      </c>
      <c r="C26" s="605">
        <v>594.91999999999996</v>
      </c>
      <c r="D26" s="605">
        <v>594.91999999999996</v>
      </c>
      <c r="E26" s="606">
        <v>0</v>
      </c>
    </row>
    <row r="27" spans="2:5" ht="12.9" customHeight="1">
      <c r="B27" s="607"/>
      <c r="C27" s="608"/>
      <c r="D27" s="608"/>
      <c r="E27" s="609"/>
    </row>
    <row r="28" spans="2:5" ht="18.649999999999999" customHeight="1">
      <c r="B28" s="731" t="s">
        <v>493</v>
      </c>
      <c r="C28" s="731"/>
      <c r="D28" s="731"/>
      <c r="E28" s="731"/>
    </row>
    <row r="29" spans="2:5" ht="10.5" customHeight="1" thickBot="1">
      <c r="B29" s="340"/>
      <c r="C29" s="340"/>
      <c r="D29" s="340"/>
      <c r="E29" s="340"/>
    </row>
    <row r="30" spans="2:5" ht="18.649999999999999" customHeight="1" thickBot="1">
      <c r="B30" s="722" t="s">
        <v>494</v>
      </c>
      <c r="C30" s="723"/>
      <c r="D30" s="723"/>
      <c r="E30" s="724"/>
    </row>
    <row r="31" spans="2:5" ht="14.4" customHeight="1" thickBot="1">
      <c r="B31" s="736" t="s">
        <v>495</v>
      </c>
      <c r="C31" s="736"/>
      <c r="D31" s="736"/>
      <c r="E31" s="736"/>
    </row>
    <row r="32" spans="2:5" ht="40.25" customHeight="1">
      <c r="B32" s="592" t="s">
        <v>496</v>
      </c>
      <c r="C32" s="610" t="s">
        <v>472</v>
      </c>
      <c r="D32" s="610" t="s">
        <v>473</v>
      </c>
      <c r="E32" s="593" t="s">
        <v>187</v>
      </c>
    </row>
    <row r="33" spans="2:5" ht="15" customHeight="1">
      <c r="B33" s="583" t="s">
        <v>497</v>
      </c>
      <c r="C33" s="611">
        <v>1521</v>
      </c>
      <c r="D33" s="611">
        <v>1530.3</v>
      </c>
      <c r="E33" s="612">
        <v>9.2999999999999545</v>
      </c>
    </row>
    <row r="34" spans="2:5" ht="14.25" customHeight="1">
      <c r="B34" s="583" t="s">
        <v>498</v>
      </c>
      <c r="C34" s="611">
        <v>1185.7</v>
      </c>
      <c r="D34" s="611">
        <v>1293.9000000000001</v>
      </c>
      <c r="E34" s="612">
        <v>108.20000000000005</v>
      </c>
    </row>
    <row r="35" spans="2:5" ht="14.25" customHeight="1">
      <c r="B35" s="583" t="s">
        <v>499</v>
      </c>
      <c r="C35" s="611">
        <v>1130.5</v>
      </c>
      <c r="D35" s="611">
        <v>1204.4000000000001</v>
      </c>
      <c r="E35" s="612">
        <v>73.900000000000091</v>
      </c>
    </row>
    <row r="36" spans="2:5" ht="14.25" customHeight="1">
      <c r="B36" s="583" t="s">
        <v>500</v>
      </c>
      <c r="C36" s="611">
        <v>1033.8</v>
      </c>
      <c r="D36" s="611">
        <v>1101.5999999999999</v>
      </c>
      <c r="E36" s="612">
        <v>67.799999999999955</v>
      </c>
    </row>
    <row r="37" spans="2:5" ht="14.25" customHeight="1">
      <c r="B37" s="583" t="s">
        <v>501</v>
      </c>
      <c r="C37" s="611">
        <v>974.3</v>
      </c>
      <c r="D37" s="611">
        <v>1025.8</v>
      </c>
      <c r="E37" s="612">
        <v>51.5</v>
      </c>
    </row>
    <row r="38" spans="2:5" ht="14.25" customHeight="1" thickBot="1">
      <c r="B38" s="585" t="s">
        <v>502</v>
      </c>
      <c r="C38" s="613">
        <v>387.7</v>
      </c>
      <c r="D38" s="613">
        <v>373.2</v>
      </c>
      <c r="E38" s="614">
        <v>-14.5</v>
      </c>
    </row>
    <row r="40" spans="2:5">
      <c r="E40" s="162" t="s">
        <v>68</v>
      </c>
    </row>
  </sheetData>
  <mergeCells count="7">
    <mergeCell ref="B31:E31"/>
    <mergeCell ref="B3:E3"/>
    <mergeCell ref="B4:E4"/>
    <mergeCell ref="B12:E12"/>
    <mergeCell ref="B13:E13"/>
    <mergeCell ref="B28:E28"/>
    <mergeCell ref="B30:E3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4" firstPageNumber="0" fitToHeight="0" orientation="portrait" r:id="rId1"/>
  <headerFooter scaleWithDoc="0" alignWithMargins="0">
    <oddHeader>&amp;R&amp;"Verdana,Normal"&amp;8 19</oddHeader>
    <oddFooter>&amp;R&amp;"Verdana,Cursiva"&amp;8Subdirección General de Análisis, Coordinación y Estadística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169BE-B577-4C32-9E13-342541E9DAB3}">
  <sheetPr>
    <pageSetUpPr fitToPage="1"/>
  </sheetPr>
  <dimension ref="B1:T34"/>
  <sheetViews>
    <sheetView showGridLines="0" topLeftCell="A2" zoomScaleNormal="100" zoomScaleSheetLayoutView="90" workbookViewId="0">
      <selection activeCell="A2" sqref="A2"/>
    </sheetView>
  </sheetViews>
  <sheetFormatPr baseColWidth="10" defaultColWidth="11.36328125" defaultRowHeight="12.5"/>
  <cols>
    <col min="1" max="1" width="2.08984375" style="518" customWidth="1"/>
    <col min="2" max="2" width="32.90625" style="518" customWidth="1"/>
    <col min="3" max="11" width="16.81640625" style="518" customWidth="1"/>
    <col min="12" max="12" width="3.1796875" style="518" customWidth="1"/>
    <col min="13" max="13" width="11.36328125" style="518"/>
    <col min="14" max="14" width="16.08984375" style="518" customWidth="1"/>
    <col min="15" max="16384" width="11.36328125" style="518"/>
  </cols>
  <sheetData>
    <row r="1" spans="2:20" hidden="1">
      <c r="B1" s="615"/>
      <c r="C1" s="615"/>
      <c r="D1" s="615"/>
      <c r="E1" s="615"/>
      <c r="F1" s="615"/>
      <c r="G1" s="615"/>
      <c r="H1" s="615"/>
      <c r="I1" s="615"/>
      <c r="J1" s="615"/>
      <c r="K1" s="616"/>
      <c r="L1" s="744" t="s">
        <v>503</v>
      </c>
      <c r="M1" s="745"/>
      <c r="N1" s="745"/>
      <c r="O1" s="745"/>
      <c r="P1" s="745"/>
      <c r="Q1" s="745"/>
      <c r="R1" s="745"/>
      <c r="S1" s="745"/>
      <c r="T1" s="745"/>
    </row>
    <row r="2" spans="2:20" ht="21.65" customHeight="1">
      <c r="B2" s="615"/>
      <c r="C2" s="615"/>
      <c r="D2" s="615"/>
      <c r="E2" s="615"/>
      <c r="F2" s="615"/>
      <c r="G2" s="615"/>
      <c r="H2" s="615"/>
      <c r="I2" s="615"/>
      <c r="J2" s="615"/>
      <c r="K2" s="619"/>
      <c r="L2" s="617"/>
      <c r="M2" s="618"/>
      <c r="N2" s="618"/>
      <c r="O2" s="618"/>
      <c r="P2" s="618"/>
      <c r="Q2" s="618"/>
      <c r="R2" s="618"/>
      <c r="S2" s="618"/>
      <c r="T2" s="618"/>
    </row>
    <row r="3" spans="2:20" ht="9.65" customHeight="1">
      <c r="B3" s="615"/>
      <c r="C3" s="615"/>
      <c r="D3" s="615"/>
      <c r="E3" s="615"/>
      <c r="F3" s="615"/>
      <c r="G3" s="615"/>
      <c r="H3" s="615"/>
      <c r="I3" s="615"/>
      <c r="J3" s="615"/>
      <c r="K3" s="615"/>
      <c r="L3" s="615"/>
      <c r="M3" s="615"/>
      <c r="N3" s="615"/>
      <c r="O3" s="615"/>
      <c r="P3" s="615"/>
      <c r="Q3" s="615"/>
      <c r="R3" s="615"/>
      <c r="S3" s="615"/>
      <c r="T3" s="615"/>
    </row>
    <row r="4" spans="2:20" ht="23.4" customHeight="1" thickBot="1">
      <c r="B4" s="713" t="s">
        <v>504</v>
      </c>
      <c r="C4" s="713"/>
      <c r="D4" s="713"/>
      <c r="E4" s="713"/>
      <c r="F4" s="713"/>
      <c r="G4" s="713"/>
      <c r="H4" s="713"/>
      <c r="I4" s="713"/>
      <c r="J4" s="713"/>
      <c r="K4" s="713"/>
      <c r="L4" s="618"/>
      <c r="M4" s="618"/>
      <c r="N4" s="618"/>
      <c r="O4" s="618"/>
      <c r="P4" s="618"/>
      <c r="Q4" s="618"/>
      <c r="R4" s="618"/>
      <c r="S4" s="615"/>
      <c r="T4" s="615"/>
    </row>
    <row r="5" spans="2:20" ht="21" customHeight="1" thickBot="1">
      <c r="B5" s="722" t="s">
        <v>505</v>
      </c>
      <c r="C5" s="723"/>
      <c r="D5" s="723"/>
      <c r="E5" s="723"/>
      <c r="F5" s="723"/>
      <c r="G5" s="723"/>
      <c r="H5" s="723"/>
      <c r="I5" s="723"/>
      <c r="J5" s="723"/>
      <c r="K5" s="724"/>
      <c r="L5" s="620"/>
      <c r="M5" s="620"/>
      <c r="N5" s="620"/>
      <c r="O5" s="620"/>
      <c r="P5" s="620"/>
      <c r="Q5" s="620"/>
      <c r="R5" s="620"/>
      <c r="S5" s="615"/>
      <c r="T5" s="615"/>
    </row>
    <row r="6" spans="2:20" ht="13.25" customHeight="1">
      <c r="L6" s="618"/>
      <c r="M6" s="618"/>
      <c r="N6" s="618"/>
      <c r="O6" s="618"/>
      <c r="P6" s="618"/>
      <c r="Q6" s="618"/>
      <c r="R6" s="620"/>
      <c r="S6" s="615"/>
      <c r="T6" s="615"/>
    </row>
    <row r="7" spans="2:20" ht="13.25" customHeight="1">
      <c r="B7" s="746" t="s">
        <v>506</v>
      </c>
      <c r="C7" s="746"/>
      <c r="D7" s="746"/>
      <c r="E7" s="746"/>
      <c r="F7" s="746"/>
      <c r="G7" s="746"/>
      <c r="H7" s="746"/>
      <c r="I7" s="746"/>
      <c r="J7" s="746"/>
      <c r="K7" s="746"/>
      <c r="L7" s="618"/>
      <c r="M7" s="618"/>
      <c r="N7" s="618"/>
      <c r="O7" s="618"/>
      <c r="P7" s="618"/>
      <c r="Q7" s="618"/>
      <c r="R7" s="620"/>
      <c r="S7" s="615"/>
      <c r="T7" s="615"/>
    </row>
    <row r="8" spans="2:20" ht="13" thickBot="1">
      <c r="B8" s="240"/>
      <c r="C8" s="240"/>
      <c r="D8" s="240"/>
      <c r="E8" s="240"/>
      <c r="F8" s="240"/>
      <c r="G8" s="240"/>
      <c r="H8" s="240"/>
      <c r="I8" s="240"/>
      <c r="J8" s="240"/>
      <c r="K8" s="240"/>
    </row>
    <row r="9" spans="2:20" ht="20" customHeight="1">
      <c r="B9" s="738" t="s">
        <v>507</v>
      </c>
      <c r="C9" s="740" t="s">
        <v>508</v>
      </c>
      <c r="D9" s="741"/>
      <c r="E9" s="742"/>
      <c r="F9" s="740" t="s">
        <v>509</v>
      </c>
      <c r="G9" s="741"/>
      <c r="H9" s="742"/>
      <c r="I9" s="740" t="s">
        <v>510</v>
      </c>
      <c r="J9" s="741"/>
      <c r="K9" s="743"/>
    </row>
    <row r="10" spans="2:20" ht="37.25" customHeight="1">
      <c r="B10" s="739"/>
      <c r="C10" s="621" t="s">
        <v>511</v>
      </c>
      <c r="D10" s="621" t="s">
        <v>443</v>
      </c>
      <c r="E10" s="622" t="s">
        <v>512</v>
      </c>
      <c r="F10" s="621" t="s">
        <v>511</v>
      </c>
      <c r="G10" s="621" t="s">
        <v>443</v>
      </c>
      <c r="H10" s="622" t="s">
        <v>512</v>
      </c>
      <c r="I10" s="621" t="s">
        <v>511</v>
      </c>
      <c r="J10" s="621" t="s">
        <v>443</v>
      </c>
      <c r="K10" s="623" t="s">
        <v>512</v>
      </c>
    </row>
    <row r="11" spans="2:20" ht="30" customHeight="1" thickBot="1">
      <c r="B11" s="624" t="s">
        <v>513</v>
      </c>
      <c r="C11" s="625">
        <v>134.79</v>
      </c>
      <c r="D11" s="625">
        <v>134.81</v>
      </c>
      <c r="E11" s="626">
        <v>2.0000000000010232E-2</v>
      </c>
      <c r="F11" s="625">
        <v>132.5</v>
      </c>
      <c r="G11" s="625">
        <v>134.07</v>
      </c>
      <c r="H11" s="626">
        <v>1.5699999999999932</v>
      </c>
      <c r="I11" s="625">
        <v>139.05000000000001</v>
      </c>
      <c r="J11" s="625">
        <v>139.49</v>
      </c>
      <c r="K11" s="435">
        <v>0.43999999999999773</v>
      </c>
    </row>
    <row r="12" spans="2:20" ht="20" customHeight="1">
      <c r="B12" s="240"/>
      <c r="C12" s="240"/>
      <c r="D12" s="240"/>
      <c r="E12" s="240"/>
      <c r="F12" s="240"/>
      <c r="G12" s="240"/>
      <c r="H12" s="240"/>
      <c r="I12" s="240"/>
      <c r="J12" s="240"/>
      <c r="K12" s="240"/>
    </row>
    <row r="13" spans="2:20" ht="20" customHeight="1" thickBot="1">
      <c r="B13" s="240"/>
      <c r="C13" s="240"/>
      <c r="D13" s="240"/>
      <c r="E13" s="240"/>
      <c r="F13" s="240"/>
      <c r="G13" s="240"/>
      <c r="H13" s="240"/>
      <c r="I13" s="240"/>
      <c r="J13" s="240"/>
      <c r="K13" s="240"/>
    </row>
    <row r="14" spans="2:20" ht="20" customHeight="1">
      <c r="B14" s="738" t="s">
        <v>507</v>
      </c>
      <c r="C14" s="740" t="s">
        <v>514</v>
      </c>
      <c r="D14" s="741"/>
      <c r="E14" s="742"/>
      <c r="F14" s="740" t="s">
        <v>515</v>
      </c>
      <c r="G14" s="741"/>
      <c r="H14" s="742"/>
      <c r="I14" s="740" t="s">
        <v>516</v>
      </c>
      <c r="J14" s="741"/>
      <c r="K14" s="743"/>
    </row>
    <row r="15" spans="2:20" ht="37.25" customHeight="1">
      <c r="B15" s="739"/>
      <c r="C15" s="621" t="s">
        <v>511</v>
      </c>
      <c r="D15" s="621" t="s">
        <v>443</v>
      </c>
      <c r="E15" s="622" t="s">
        <v>187</v>
      </c>
      <c r="F15" s="621" t="s">
        <v>511</v>
      </c>
      <c r="G15" s="621" t="s">
        <v>443</v>
      </c>
      <c r="H15" s="622" t="s">
        <v>187</v>
      </c>
      <c r="I15" s="621" t="s">
        <v>511</v>
      </c>
      <c r="J15" s="621" t="s">
        <v>443</v>
      </c>
      <c r="K15" s="623" t="s">
        <v>187</v>
      </c>
    </row>
    <row r="16" spans="2:20" ht="30" customHeight="1" thickBot="1">
      <c r="B16" s="624" t="s">
        <v>513</v>
      </c>
      <c r="C16" s="625">
        <v>144.02000000000001</v>
      </c>
      <c r="D16" s="625">
        <v>141.18</v>
      </c>
      <c r="E16" s="626">
        <v>-2.8400000000000034</v>
      </c>
      <c r="F16" s="625">
        <v>136.91</v>
      </c>
      <c r="G16" s="625">
        <v>134.52000000000001</v>
      </c>
      <c r="H16" s="626">
        <v>-2.3899999999999864</v>
      </c>
      <c r="I16" s="625">
        <v>136.87</v>
      </c>
      <c r="J16" s="625">
        <v>139.02000000000001</v>
      </c>
      <c r="K16" s="435">
        <v>2.1500000000000057</v>
      </c>
    </row>
    <row r="17" spans="2:11" ht="20" customHeight="1"/>
    <row r="18" spans="2:11" ht="20" customHeight="1" thickBot="1"/>
    <row r="19" spans="2:11" ht="20" customHeight="1" thickBot="1">
      <c r="B19" s="722" t="s">
        <v>517</v>
      </c>
      <c r="C19" s="723"/>
      <c r="D19" s="723"/>
      <c r="E19" s="723"/>
      <c r="F19" s="723"/>
      <c r="G19" s="723"/>
      <c r="H19" s="723"/>
      <c r="I19" s="723"/>
      <c r="J19" s="723"/>
      <c r="K19" s="724"/>
    </row>
    <row r="20" spans="2:11" ht="20" customHeight="1">
      <c r="B20" s="257"/>
    </row>
    <row r="21" spans="2:11" ht="20" customHeight="1" thickBot="1"/>
    <row r="22" spans="2:11" ht="20" customHeight="1">
      <c r="B22" s="738" t="s">
        <v>518</v>
      </c>
      <c r="C22" s="740" t="s">
        <v>519</v>
      </c>
      <c r="D22" s="741"/>
      <c r="E22" s="742"/>
      <c r="F22" s="740" t="s">
        <v>520</v>
      </c>
      <c r="G22" s="741"/>
      <c r="H22" s="742"/>
      <c r="I22" s="740" t="s">
        <v>521</v>
      </c>
      <c r="J22" s="741"/>
      <c r="K22" s="743"/>
    </row>
    <row r="23" spans="2:11" ht="37.25" customHeight="1">
      <c r="B23" s="739"/>
      <c r="C23" s="627" t="s">
        <v>511</v>
      </c>
      <c r="D23" s="627" t="s">
        <v>443</v>
      </c>
      <c r="E23" s="628" t="s">
        <v>187</v>
      </c>
      <c r="F23" s="627" t="s">
        <v>511</v>
      </c>
      <c r="G23" s="627" t="s">
        <v>443</v>
      </c>
      <c r="H23" s="628" t="s">
        <v>187</v>
      </c>
      <c r="I23" s="627" t="s">
        <v>511</v>
      </c>
      <c r="J23" s="627" t="s">
        <v>443</v>
      </c>
      <c r="K23" s="629" t="s">
        <v>187</v>
      </c>
    </row>
    <row r="24" spans="2:11" ht="30" customHeight="1">
      <c r="B24" s="630" t="s">
        <v>522</v>
      </c>
      <c r="C24" s="631" t="s">
        <v>106</v>
      </c>
      <c r="D24" s="631" t="s">
        <v>106</v>
      </c>
      <c r="E24" s="632" t="s">
        <v>106</v>
      </c>
      <c r="F24" s="631">
        <v>1.1000000000000001</v>
      </c>
      <c r="G24" s="631">
        <v>1.06</v>
      </c>
      <c r="H24" s="632">
        <v>-4.0000000000000036E-2</v>
      </c>
      <c r="I24" s="631">
        <v>1.07</v>
      </c>
      <c r="J24" s="631">
        <v>1.02</v>
      </c>
      <c r="K24" s="633">
        <v>-5.0000000000000044E-2</v>
      </c>
    </row>
    <row r="25" spans="2:11" ht="30" customHeight="1">
      <c r="B25" s="630" t="s">
        <v>523</v>
      </c>
      <c r="C25" s="631">
        <v>1.05</v>
      </c>
      <c r="D25" s="631">
        <v>1</v>
      </c>
      <c r="E25" s="632">
        <v>-5.0000000000000044E-2</v>
      </c>
      <c r="F25" s="631">
        <v>1.03</v>
      </c>
      <c r="G25" s="631">
        <v>0.98</v>
      </c>
      <c r="H25" s="632">
        <v>-5.0000000000000044E-2</v>
      </c>
      <c r="I25" s="631">
        <v>1.01</v>
      </c>
      <c r="J25" s="631">
        <v>0.96</v>
      </c>
      <c r="K25" s="633">
        <v>-5.0000000000000044E-2</v>
      </c>
    </row>
    <row r="26" spans="2:11" ht="30" customHeight="1">
      <c r="B26" s="630" t="s">
        <v>524</v>
      </c>
      <c r="C26" s="631">
        <v>1.05</v>
      </c>
      <c r="D26" s="631">
        <v>1.01</v>
      </c>
      <c r="E26" s="632">
        <v>-4.0000000000000036E-2</v>
      </c>
      <c r="F26" s="631">
        <v>1.04</v>
      </c>
      <c r="G26" s="631">
        <v>1</v>
      </c>
      <c r="H26" s="632">
        <v>-4.0000000000000036E-2</v>
      </c>
      <c r="I26" s="631">
        <v>1.03</v>
      </c>
      <c r="J26" s="631">
        <v>1</v>
      </c>
      <c r="K26" s="633">
        <v>-3.0000000000000027E-2</v>
      </c>
    </row>
    <row r="27" spans="2:11" ht="30" customHeight="1">
      <c r="B27" s="630" t="s">
        <v>525</v>
      </c>
      <c r="C27" s="631">
        <v>1.08</v>
      </c>
      <c r="D27" s="631">
        <v>1.02</v>
      </c>
      <c r="E27" s="632">
        <v>-6.0000000000000053E-2</v>
      </c>
      <c r="F27" s="631">
        <v>1.07</v>
      </c>
      <c r="G27" s="631">
        <v>1.01</v>
      </c>
      <c r="H27" s="632">
        <v>-6.0000000000000053E-2</v>
      </c>
      <c r="I27" s="631">
        <v>1.06</v>
      </c>
      <c r="J27" s="631">
        <v>1</v>
      </c>
      <c r="K27" s="633">
        <v>-6.0000000000000053E-2</v>
      </c>
    </row>
    <row r="28" spans="2:11" ht="30" customHeight="1">
      <c r="B28" s="630" t="s">
        <v>526</v>
      </c>
      <c r="C28" s="631">
        <v>1.06</v>
      </c>
      <c r="D28" s="631">
        <v>1.06</v>
      </c>
      <c r="E28" s="632">
        <v>0</v>
      </c>
      <c r="F28" s="631">
        <v>1.03</v>
      </c>
      <c r="G28" s="631">
        <v>1.03</v>
      </c>
      <c r="H28" s="632">
        <v>0</v>
      </c>
      <c r="I28" s="631">
        <v>1.34</v>
      </c>
      <c r="J28" s="631">
        <v>1.34</v>
      </c>
      <c r="K28" s="633">
        <v>0</v>
      </c>
    </row>
    <row r="29" spans="2:11" ht="30" customHeight="1">
      <c r="B29" s="630" t="s">
        <v>527</v>
      </c>
      <c r="C29" s="631">
        <v>1.04</v>
      </c>
      <c r="D29" s="631">
        <v>1.04</v>
      </c>
      <c r="E29" s="632">
        <v>0</v>
      </c>
      <c r="F29" s="631">
        <v>1.04</v>
      </c>
      <c r="G29" s="631">
        <v>1.04</v>
      </c>
      <c r="H29" s="632">
        <v>0</v>
      </c>
      <c r="I29" s="631">
        <v>1.6</v>
      </c>
      <c r="J29" s="631">
        <v>1.6</v>
      </c>
      <c r="K29" s="633">
        <v>0</v>
      </c>
    </row>
    <row r="30" spans="2:11" ht="30" customHeight="1">
      <c r="B30" s="630" t="s">
        <v>528</v>
      </c>
      <c r="C30" s="631">
        <v>1.05</v>
      </c>
      <c r="D30" s="631">
        <v>1.05</v>
      </c>
      <c r="E30" s="632">
        <v>0</v>
      </c>
      <c r="F30" s="631">
        <v>1.04</v>
      </c>
      <c r="G30" s="631">
        <v>1.04</v>
      </c>
      <c r="H30" s="632">
        <v>0</v>
      </c>
      <c r="I30" s="631">
        <v>1.6</v>
      </c>
      <c r="J30" s="631">
        <v>1.6</v>
      </c>
      <c r="K30" s="633">
        <v>0</v>
      </c>
    </row>
    <row r="31" spans="2:11" ht="30" customHeight="1" thickBot="1">
      <c r="B31" s="634" t="s">
        <v>529</v>
      </c>
      <c r="C31" s="635">
        <v>1.08</v>
      </c>
      <c r="D31" s="635">
        <v>1.08</v>
      </c>
      <c r="E31" s="636">
        <v>0</v>
      </c>
      <c r="F31" s="635">
        <v>1.04</v>
      </c>
      <c r="G31" s="635">
        <v>1.04</v>
      </c>
      <c r="H31" s="636">
        <v>0</v>
      </c>
      <c r="I31" s="635">
        <v>1.03</v>
      </c>
      <c r="J31" s="635">
        <v>1.03</v>
      </c>
      <c r="K31" s="637">
        <v>0</v>
      </c>
    </row>
    <row r="32" spans="2:11" ht="16.5" customHeight="1">
      <c r="B32" s="638" t="s">
        <v>530</v>
      </c>
    </row>
    <row r="33" spans="11:11">
      <c r="K33" s="162" t="s">
        <v>68</v>
      </c>
    </row>
    <row r="34" spans="11:11">
      <c r="K34" s="298"/>
    </row>
  </sheetData>
  <mergeCells count="18">
    <mergeCell ref="B22:B23"/>
    <mergeCell ref="C22:E22"/>
    <mergeCell ref="F22:H22"/>
    <mergeCell ref="I22:K22"/>
    <mergeCell ref="L1:T1"/>
    <mergeCell ref="B4:I4"/>
    <mergeCell ref="J4:K4"/>
    <mergeCell ref="B5:K5"/>
    <mergeCell ref="B7:K7"/>
    <mergeCell ref="B9:B10"/>
    <mergeCell ref="C9:E9"/>
    <mergeCell ref="F9:H9"/>
    <mergeCell ref="I9:K9"/>
    <mergeCell ref="B14:B15"/>
    <mergeCell ref="C14:E14"/>
    <mergeCell ref="F14:H14"/>
    <mergeCell ref="I14:K14"/>
    <mergeCell ref="B19:K1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6" fitToHeight="0" orientation="portrait" r:id="rId1"/>
  <headerFooter scaleWithDoc="0" alignWithMargins="0">
    <oddHeader>&amp;R&amp;"Verdana,Normal"&amp;8 20</oddHeader>
    <oddFooter>&amp;R&amp;"Verdana,Cursiva"&amp;8Subdirección General de Análisis, Coordinación y Estadística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3DE2B-960B-4B62-A56F-69CCC8190B73}">
  <sheetPr>
    <pageSetUpPr fitToPage="1"/>
  </sheetPr>
  <dimension ref="B2:H54"/>
  <sheetViews>
    <sheetView showGridLines="0" zoomScaleNormal="100" zoomScaleSheetLayoutView="90" workbookViewId="0"/>
  </sheetViews>
  <sheetFormatPr baseColWidth="10" defaultColWidth="9.08984375" defaultRowHeight="11.5"/>
  <cols>
    <col min="1" max="1" width="4.1796875" style="240" customWidth="1"/>
    <col min="2" max="2" width="40.90625" style="240" customWidth="1"/>
    <col min="3" max="3" width="18.81640625" style="240" customWidth="1"/>
    <col min="4" max="4" width="17.1796875" style="240" customWidth="1"/>
    <col min="5" max="5" width="20.81640625" style="240" customWidth="1"/>
    <col min="6" max="6" width="4.08984375" style="240" customWidth="1"/>
    <col min="7" max="8" width="10.81640625" style="240" customWidth="1"/>
    <col min="9" max="16384" width="9.08984375" style="240"/>
  </cols>
  <sheetData>
    <row r="2" spans="2:8" ht="13.5">
      <c r="E2" s="241"/>
    </row>
    <row r="3" spans="2:8" ht="14" customHeight="1" thickBot="1">
      <c r="B3" s="576"/>
      <c r="C3" s="576"/>
      <c r="D3" s="576"/>
      <c r="E3" s="576"/>
      <c r="F3" s="576"/>
      <c r="G3" s="576"/>
      <c r="H3" s="576"/>
    </row>
    <row r="4" spans="2:8" ht="20" customHeight="1" thickBot="1">
      <c r="B4" s="722" t="s">
        <v>531</v>
      </c>
      <c r="C4" s="723"/>
      <c r="D4" s="723"/>
      <c r="E4" s="724"/>
      <c r="F4" s="639"/>
      <c r="G4" s="639"/>
      <c r="H4" s="576"/>
    </row>
    <row r="5" spans="2:8" ht="23" customHeight="1">
      <c r="B5" s="754" t="s">
        <v>532</v>
      </c>
      <c r="C5" s="754"/>
      <c r="D5" s="754"/>
      <c r="E5" s="754"/>
      <c r="G5" s="576"/>
      <c r="H5" s="576"/>
    </row>
    <row r="6" spans="2:8" ht="15" customHeight="1">
      <c r="B6" s="755"/>
      <c r="C6" s="755"/>
      <c r="D6" s="755"/>
      <c r="E6" s="755"/>
      <c r="F6" s="243"/>
      <c r="G6" s="640"/>
      <c r="H6" s="576"/>
    </row>
    <row r="7" spans="2:8" ht="0.9" customHeight="1" thickBot="1">
      <c r="B7" s="640"/>
      <c r="C7" s="640"/>
      <c r="D7" s="640"/>
      <c r="E7" s="640"/>
      <c r="F7" s="640"/>
      <c r="G7" s="640"/>
      <c r="H7" s="576"/>
    </row>
    <row r="8" spans="2:8" ht="40.25" customHeight="1">
      <c r="B8" s="641" t="s">
        <v>533</v>
      </c>
      <c r="C8" s="578" t="s">
        <v>534</v>
      </c>
      <c r="D8" s="578" t="s">
        <v>535</v>
      </c>
      <c r="E8" s="642" t="s">
        <v>446</v>
      </c>
      <c r="F8" s="576"/>
      <c r="G8" s="576"/>
      <c r="H8" s="576"/>
    </row>
    <row r="9" spans="2:8" ht="12.9" customHeight="1">
      <c r="B9" s="643" t="s">
        <v>536</v>
      </c>
      <c r="C9" s="644">
        <v>35.869999999999997</v>
      </c>
      <c r="D9" s="644">
        <v>35.25</v>
      </c>
      <c r="E9" s="645">
        <v>-0.61999999999999744</v>
      </c>
      <c r="F9" s="576"/>
      <c r="G9" s="576"/>
      <c r="H9" s="576"/>
    </row>
    <row r="10" spans="2:8" ht="32.15" customHeight="1">
      <c r="B10" s="646" t="s">
        <v>537</v>
      </c>
      <c r="C10" s="647"/>
      <c r="D10" s="647"/>
      <c r="E10" s="648"/>
      <c r="F10" s="576"/>
      <c r="G10" s="576"/>
      <c r="H10" s="576"/>
    </row>
    <row r="11" spans="2:8" ht="12.9" customHeight="1">
      <c r="B11" s="643" t="s">
        <v>538</v>
      </c>
      <c r="C11" s="649">
        <v>107.07</v>
      </c>
      <c r="D11" s="649">
        <v>107.41</v>
      </c>
      <c r="E11" s="645">
        <v>0.34000000000000341</v>
      </c>
      <c r="F11" s="576"/>
      <c r="G11" s="576"/>
      <c r="H11" s="576"/>
    </row>
    <row r="12" spans="2:8" ht="11.25" hidden="1" customHeight="1">
      <c r="B12" s="650"/>
      <c r="C12" s="651"/>
      <c r="D12" s="651"/>
      <c r="E12" s="652"/>
      <c r="F12" s="576"/>
      <c r="G12" s="576"/>
      <c r="H12" s="576"/>
    </row>
    <row r="13" spans="2:8" ht="32.15" customHeight="1">
      <c r="B13" s="646" t="s">
        <v>539</v>
      </c>
      <c r="C13" s="647"/>
      <c r="D13" s="647"/>
      <c r="E13" s="648"/>
      <c r="F13" s="576"/>
      <c r="G13" s="576"/>
      <c r="H13" s="576"/>
    </row>
    <row r="14" spans="2:8" ht="12.9" customHeight="1">
      <c r="B14" s="643" t="s">
        <v>540</v>
      </c>
      <c r="C14" s="649">
        <v>120</v>
      </c>
      <c r="D14" s="649">
        <v>175</v>
      </c>
      <c r="E14" s="645">
        <v>55</v>
      </c>
      <c r="F14" s="576"/>
      <c r="G14" s="576"/>
      <c r="H14" s="576"/>
    </row>
    <row r="15" spans="2:8" ht="12.9" customHeight="1">
      <c r="B15" s="643" t="s">
        <v>541</v>
      </c>
      <c r="C15" s="649">
        <v>195</v>
      </c>
      <c r="D15" s="649">
        <v>195</v>
      </c>
      <c r="E15" s="645">
        <v>0</v>
      </c>
      <c r="F15" s="576"/>
      <c r="G15" s="576"/>
      <c r="H15" s="576"/>
    </row>
    <row r="16" spans="2:8" ht="12.9" customHeight="1" thickBot="1">
      <c r="B16" s="653" t="s">
        <v>542</v>
      </c>
      <c r="C16" s="654">
        <v>163.59</v>
      </c>
      <c r="D16" s="654">
        <v>179.7</v>
      </c>
      <c r="E16" s="655">
        <v>16.109999999999985</v>
      </c>
      <c r="F16" s="576"/>
      <c r="G16" s="576"/>
      <c r="H16" s="576"/>
    </row>
    <row r="17" spans="2:8" ht="0.9" customHeight="1">
      <c r="B17" s="756">
        <v>5</v>
      </c>
      <c r="C17" s="756"/>
      <c r="D17" s="756"/>
      <c r="E17" s="756"/>
      <c r="F17" s="576"/>
      <c r="G17" s="576"/>
      <c r="H17" s="576"/>
    </row>
    <row r="18" spans="2:8" ht="21.9" customHeight="1" thickBot="1">
      <c r="B18" s="656"/>
      <c r="C18" s="656"/>
      <c r="D18" s="656"/>
      <c r="E18" s="656"/>
      <c r="F18" s="576"/>
      <c r="G18" s="576"/>
      <c r="H18" s="576"/>
    </row>
    <row r="19" spans="2:8" ht="14.4" customHeight="1" thickBot="1">
      <c r="B19" s="722" t="s">
        <v>543</v>
      </c>
      <c r="C19" s="723"/>
      <c r="D19" s="723"/>
      <c r="E19" s="724"/>
      <c r="F19" s="576"/>
      <c r="G19" s="576"/>
      <c r="H19" s="576"/>
    </row>
    <row r="20" spans="2:8" ht="21.75" customHeight="1">
      <c r="B20" s="754" t="s">
        <v>532</v>
      </c>
      <c r="C20" s="754"/>
      <c r="D20" s="754"/>
      <c r="E20" s="754"/>
      <c r="F20" s="576"/>
      <c r="G20" s="576"/>
      <c r="H20" s="576"/>
    </row>
    <row r="21" spans="2:8" ht="12" customHeight="1" thickBot="1">
      <c r="B21" s="747"/>
      <c r="C21" s="747"/>
      <c r="D21" s="747"/>
      <c r="E21" s="747"/>
      <c r="F21" s="576"/>
      <c r="G21" s="576"/>
      <c r="H21" s="576"/>
    </row>
    <row r="22" spans="2:8" ht="40.25" customHeight="1">
      <c r="B22" s="641" t="s">
        <v>544</v>
      </c>
      <c r="C22" s="578" t="s">
        <v>534</v>
      </c>
      <c r="D22" s="578" t="s">
        <v>535</v>
      </c>
      <c r="E22" s="642" t="s">
        <v>446</v>
      </c>
      <c r="F22" s="576"/>
      <c r="G22" s="576"/>
      <c r="H22" s="576"/>
    </row>
    <row r="23" spans="2:8" ht="12.75" customHeight="1">
      <c r="B23" s="643" t="s">
        <v>545</v>
      </c>
      <c r="C23" s="657">
        <v>560</v>
      </c>
      <c r="D23" s="657">
        <v>560</v>
      </c>
      <c r="E23" s="645">
        <v>0</v>
      </c>
      <c r="F23" s="576"/>
      <c r="G23" s="576"/>
      <c r="H23" s="576"/>
    </row>
    <row r="24" spans="2:8">
      <c r="B24" s="643" t="s">
        <v>546</v>
      </c>
      <c r="C24" s="657">
        <v>890</v>
      </c>
      <c r="D24" s="657">
        <v>890</v>
      </c>
      <c r="E24" s="645">
        <v>0</v>
      </c>
    </row>
    <row r="25" spans="2:8" ht="32.15" customHeight="1">
      <c r="B25" s="646" t="s">
        <v>539</v>
      </c>
      <c r="C25" s="658"/>
      <c r="D25" s="658"/>
      <c r="E25" s="659"/>
    </row>
    <row r="26" spans="2:8" ht="14.25" customHeight="1">
      <c r="B26" s="643" t="s">
        <v>547</v>
      </c>
      <c r="C26" s="657">
        <v>722.87</v>
      </c>
      <c r="D26" s="657">
        <v>722.87</v>
      </c>
      <c r="E26" s="645">
        <v>0</v>
      </c>
    </row>
    <row r="27" spans="2:8" ht="32.15" customHeight="1">
      <c r="B27" s="646" t="s">
        <v>548</v>
      </c>
      <c r="C27" s="658"/>
      <c r="D27" s="658"/>
      <c r="E27" s="660"/>
    </row>
    <row r="28" spans="2:8" ht="14.25" customHeight="1">
      <c r="B28" s="643" t="s">
        <v>549</v>
      </c>
      <c r="C28" s="661">
        <v>475.38</v>
      </c>
      <c r="D28" s="661">
        <v>475.38</v>
      </c>
      <c r="E28" s="662">
        <v>0</v>
      </c>
    </row>
    <row r="29" spans="2:8" ht="32.15" customHeight="1">
      <c r="B29" s="646" t="s">
        <v>550</v>
      </c>
      <c r="C29" s="658"/>
      <c r="D29" s="658"/>
      <c r="E29" s="659"/>
    </row>
    <row r="30" spans="2:8">
      <c r="B30" s="643" t="s">
        <v>551</v>
      </c>
      <c r="C30" s="661" t="s">
        <v>106</v>
      </c>
      <c r="D30" s="661" t="s">
        <v>106</v>
      </c>
      <c r="E30" s="662" t="s">
        <v>106</v>
      </c>
    </row>
    <row r="31" spans="2:8" ht="27.75" customHeight="1">
      <c r="B31" s="646" t="s">
        <v>552</v>
      </c>
      <c r="C31" s="658"/>
      <c r="D31" s="658"/>
      <c r="E31" s="659"/>
    </row>
    <row r="32" spans="2:8">
      <c r="B32" s="643" t="s">
        <v>553</v>
      </c>
      <c r="C32" s="661">
        <v>303.56</v>
      </c>
      <c r="D32" s="661">
        <v>303.56</v>
      </c>
      <c r="E32" s="662">
        <v>0</v>
      </c>
    </row>
    <row r="33" spans="2:5">
      <c r="B33" s="643" t="s">
        <v>554</v>
      </c>
      <c r="C33" s="661">
        <v>321.07</v>
      </c>
      <c r="D33" s="661">
        <v>321.07</v>
      </c>
      <c r="E33" s="662">
        <v>0</v>
      </c>
    </row>
    <row r="34" spans="2:5">
      <c r="B34" s="643" t="s">
        <v>555</v>
      </c>
      <c r="C34" s="663">
        <v>390.18</v>
      </c>
      <c r="D34" s="663">
        <v>390.4</v>
      </c>
      <c r="E34" s="662">
        <v>0.21999999999997044</v>
      </c>
    </row>
    <row r="35" spans="2:5" ht="32.15" customHeight="1">
      <c r="B35" s="646" t="s">
        <v>556</v>
      </c>
      <c r="C35" s="658"/>
      <c r="D35" s="658"/>
      <c r="E35" s="660"/>
    </row>
    <row r="36" spans="2:5" ht="16.5" customHeight="1">
      <c r="B36" s="643" t="s">
        <v>557</v>
      </c>
      <c r="C36" s="661">
        <v>217.39</v>
      </c>
      <c r="D36" s="661">
        <v>217.39</v>
      </c>
      <c r="E36" s="662">
        <v>0</v>
      </c>
    </row>
    <row r="37" spans="2:5" ht="23.25" customHeight="1">
      <c r="B37" s="646" t="s">
        <v>558</v>
      </c>
      <c r="C37" s="658"/>
      <c r="D37" s="658"/>
      <c r="E37" s="660"/>
    </row>
    <row r="38" spans="2:5" ht="13.5" customHeight="1">
      <c r="B38" s="643" t="s">
        <v>559</v>
      </c>
      <c r="C38" s="661">
        <v>438</v>
      </c>
      <c r="D38" s="661">
        <v>438</v>
      </c>
      <c r="E38" s="662">
        <v>0</v>
      </c>
    </row>
    <row r="39" spans="2:5" ht="32.15" customHeight="1">
      <c r="B39" s="646" t="s">
        <v>560</v>
      </c>
      <c r="C39" s="658"/>
      <c r="D39" s="658"/>
      <c r="E39" s="659"/>
    </row>
    <row r="40" spans="2:5" ht="16.5" customHeight="1" thickBot="1">
      <c r="B40" s="653" t="s">
        <v>561</v>
      </c>
      <c r="C40" s="664">
        <v>156.52000000000001</v>
      </c>
      <c r="D40" s="664">
        <v>156.52000000000001</v>
      </c>
      <c r="E40" s="665">
        <v>0</v>
      </c>
    </row>
    <row r="41" spans="2:5">
      <c r="B41" s="240" t="s">
        <v>562</v>
      </c>
    </row>
    <row r="42" spans="2:5">
      <c r="C42" s="298"/>
      <c r="D42" s="298"/>
      <c r="E42" s="298"/>
    </row>
    <row r="43" spans="2:5" ht="13.25" customHeight="1" thickBot="1">
      <c r="B43" s="298"/>
      <c r="C43" s="298"/>
      <c r="D43" s="298"/>
      <c r="E43" s="298"/>
    </row>
    <row r="44" spans="2:5">
      <c r="B44" s="666"/>
      <c r="C44" s="667"/>
      <c r="D44" s="667"/>
      <c r="E44" s="668"/>
    </row>
    <row r="45" spans="2:5">
      <c r="B45" s="563"/>
      <c r="E45" s="669"/>
    </row>
    <row r="46" spans="2:5" ht="12.75" customHeight="1">
      <c r="B46" s="748" t="s">
        <v>563</v>
      </c>
      <c r="C46" s="749"/>
      <c r="D46" s="749"/>
      <c r="E46" s="750"/>
    </row>
    <row r="47" spans="2:5" ht="18" customHeight="1">
      <c r="B47" s="748"/>
      <c r="C47" s="749"/>
      <c r="D47" s="749"/>
      <c r="E47" s="750"/>
    </row>
    <row r="48" spans="2:5">
      <c r="B48" s="563"/>
      <c r="E48" s="669"/>
    </row>
    <row r="49" spans="2:5" ht="14.5">
      <c r="B49" s="751" t="s">
        <v>564</v>
      </c>
      <c r="C49" s="752"/>
      <c r="D49" s="752"/>
      <c r="E49" s="753"/>
    </row>
    <row r="50" spans="2:5">
      <c r="B50" s="563"/>
      <c r="E50" s="669"/>
    </row>
    <row r="51" spans="2:5">
      <c r="B51" s="563"/>
      <c r="E51" s="669"/>
    </row>
    <row r="52" spans="2:5" ht="12" thickBot="1">
      <c r="B52" s="670"/>
      <c r="C52" s="570"/>
      <c r="D52" s="570"/>
      <c r="E52" s="671"/>
    </row>
    <row r="54" spans="2:5">
      <c r="E54" s="162" t="s">
        <v>68</v>
      </c>
    </row>
  </sheetData>
  <mergeCells count="9">
    <mergeCell ref="B21:E21"/>
    <mergeCell ref="B46:E47"/>
    <mergeCell ref="B49:E49"/>
    <mergeCell ref="B4:E4"/>
    <mergeCell ref="B5:E5"/>
    <mergeCell ref="B6:E6"/>
    <mergeCell ref="B17:E17"/>
    <mergeCell ref="B19:E19"/>
    <mergeCell ref="B20:E20"/>
  </mergeCells>
  <hyperlinks>
    <hyperlink ref="B49" r:id="rId1" xr:uid="{9538F6CA-99A2-4C30-BADB-3556F26CE547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5" firstPageNumber="0" fitToHeight="0" orientation="portrait" r:id="rId2"/>
  <headerFooter scaleWithDoc="0" alignWithMargins="0">
    <oddHeader>&amp;R&amp;"Verdana,Normal"&amp;8 21</oddHeader>
    <oddFooter>&amp;R&amp;"Verdana,Cursiva"&amp;8Subdirección General de Análisis, Coordinación y Estadística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20</vt:i4>
      </vt:variant>
    </vt:vector>
  </HeadingPairs>
  <TitlesOfParts>
    <vt:vector size="37" baseType="lpstr">
      <vt:lpstr>Indice ISC</vt:lpstr>
      <vt:lpstr>Pág. 4</vt:lpstr>
      <vt:lpstr>Pág. 5</vt:lpstr>
      <vt:lpstr>Pág. 7</vt:lpstr>
      <vt:lpstr>Pág. 9</vt:lpstr>
      <vt:lpstr>Pág. 10</vt:lpstr>
      <vt:lpstr>Pág. 11</vt:lpstr>
      <vt:lpstr>Pág. 12</vt:lpstr>
      <vt:lpstr>Pág. 13</vt:lpstr>
      <vt:lpstr>Pág. 14</vt:lpstr>
      <vt:lpstr>Pág. 15</vt:lpstr>
      <vt:lpstr>Pág. 16</vt:lpstr>
      <vt:lpstr>Pág. 17</vt:lpstr>
      <vt:lpstr>Pág. 18</vt:lpstr>
      <vt:lpstr>Pág. 19</vt:lpstr>
      <vt:lpstr>Pág. 20</vt:lpstr>
      <vt:lpstr>Pág. 21</vt:lpstr>
      <vt:lpstr>'Indice ISC'!Área_de_impresión</vt:lpstr>
      <vt:lpstr>'Pág. 10'!Área_de_impresión</vt:lpstr>
      <vt:lpstr>'Pág. 11'!Área_de_impresión</vt:lpstr>
      <vt:lpstr>'Pág. 12'!Área_de_impresión</vt:lpstr>
      <vt:lpstr>'Pág. 13'!Área_de_impresión</vt:lpstr>
      <vt:lpstr>'Pág. 14'!Área_de_impresión</vt:lpstr>
      <vt:lpstr>'Pág. 15'!Área_de_impresión</vt:lpstr>
      <vt:lpstr>'Pág. 16'!Área_de_impresión</vt:lpstr>
      <vt:lpstr>'Pág. 17'!Área_de_impresión</vt:lpstr>
      <vt:lpstr>'Pág. 18'!Área_de_impresión</vt:lpstr>
      <vt:lpstr>'Pág. 19'!Área_de_impresión</vt:lpstr>
      <vt:lpstr>'Pág. 20'!Área_de_impresión</vt:lpstr>
      <vt:lpstr>'Pág. 21'!Área_de_impresión</vt:lpstr>
      <vt:lpstr>'Pág. 4'!Área_de_impresión</vt:lpstr>
      <vt:lpstr>'Pág. 5'!Área_de_impresión</vt:lpstr>
      <vt:lpstr>'Pág. 7'!Área_de_impresión</vt:lpstr>
      <vt:lpstr>'Pág. 9'!Área_de_impresión</vt:lpstr>
      <vt:lpstr>'Pág. 4'!OLE_LINK1</vt:lpstr>
      <vt:lpstr>'Pág. 5'!OLE_LINK1</vt:lpstr>
      <vt:lpstr>'Pág. 7'!OLE_LINK1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Arévalo, Jesús</dc:creator>
  <cp:lastModifiedBy>García Arévalo, Jesús</cp:lastModifiedBy>
  <dcterms:created xsi:type="dcterms:W3CDTF">2026-01-17T09:28:42Z</dcterms:created>
  <dcterms:modified xsi:type="dcterms:W3CDTF">2026-01-17T10:01:54Z</dcterms:modified>
</cp:coreProperties>
</file>